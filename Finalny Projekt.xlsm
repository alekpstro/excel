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 codeName="{AE6600E7-7A62-396C-DE95-9942FA9DD81E}"/>
  <workbookPr codeName="Ten_skoroszyt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c16fab1a2c283e05/Pulpit/"/>
    </mc:Choice>
  </mc:AlternateContent>
  <xr:revisionPtr revIDLastSave="40" documentId="14_{5DDE2AE2-889A-4128-82D0-56F439D121F7}" xr6:coauthVersionLast="47" xr6:coauthVersionMax="47" xr10:uidLastSave="{FE72E482-CEBD-477F-A8B5-E0C4B99D2F4C}"/>
  <bookViews>
    <workbookView xWindow="-110" yWindow="-110" windowWidth="19420" windowHeight="10300" activeTab="1" xr2:uid="{8A880292-44E6-4C94-937C-B4D5E11EA0E3}"/>
  </bookViews>
  <sheets>
    <sheet name="Psy" sheetId="2" r:id="rId1"/>
    <sheet name="Arkusz" sheetId="1" r:id="rId2"/>
    <sheet name="Właściciel" sheetId="3" r:id="rId3"/>
    <sheet name="Kursy średnie" sheetId="5" r:id="rId4"/>
  </sheets>
  <definedNames>
    <definedName name="ExternalData_1" localSheetId="3" hidden="1">'Kursy średnie'!$C$5:$D$10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16" i="1" l="1"/>
  <c r="N8" i="1"/>
  <c r="N7" i="1"/>
  <c r="N9" i="1"/>
  <c r="N10" i="1"/>
  <c r="N6" i="1"/>
  <c r="M7" i="1"/>
  <c r="M8" i="1"/>
  <c r="M9" i="1"/>
  <c r="M10" i="1"/>
  <c r="M6" i="1"/>
  <c r="H15" i="1"/>
  <c r="D18" i="1" a="1"/>
  <c r="D18" i="1" s="1"/>
  <c r="D17" i="1" a="1"/>
  <c r="D17" i="1" s="1"/>
  <c r="D14" i="1" a="1"/>
  <c r="D14" i="1" s="1"/>
  <c r="I21" i="1" l="1"/>
  <c r="J6" i="1"/>
  <c r="I6" i="1"/>
  <c r="K6" i="1" s="1"/>
  <c r="O6" i="1" s="1"/>
  <c r="I7" i="1"/>
  <c r="K7" i="1" s="1"/>
  <c r="O7" i="1" s="1"/>
  <c r="J7" i="1"/>
  <c r="J8" i="1"/>
  <c r="J9" i="1"/>
  <c r="J10" i="1"/>
  <c r="I8" i="1"/>
  <c r="K8" i="1" s="1"/>
  <c r="O8" i="1" s="1"/>
  <c r="I9" i="1"/>
  <c r="K9" i="1" s="1"/>
  <c r="O9" i="1" s="1"/>
  <c r="I10" i="1"/>
  <c r="K10" i="1" s="1"/>
  <c r="O10" i="1" s="1"/>
  <c r="H6" i="1"/>
  <c r="H7" i="1"/>
  <c r="H8" i="1"/>
  <c r="H9" i="1"/>
  <c r="H10" i="1"/>
  <c r="F10" i="1"/>
  <c r="F8" i="1"/>
  <c r="F9" i="1"/>
  <c r="F7" i="1"/>
  <c r="F6" i="1"/>
  <c r="D16" i="1" a="1"/>
  <c r="D16" i="1" s="1"/>
  <c r="D15" i="1" a="1"/>
  <c r="D15" i="1" s="1"/>
  <c r="J6" i="3"/>
  <c r="J7" i="3"/>
  <c r="J8" i="3"/>
  <c r="J9" i="3"/>
  <c r="J10" i="3"/>
  <c r="J11" i="3"/>
  <c r="J5" i="3"/>
  <c r="D13" i="1" a="1"/>
  <c r="D13" i="1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197D3D68-D9F4-47DA-AABB-61401ADC5083}" keepAlive="1" name="Zapytanie — Kursy średnie" description="Połączenie z zapytaniem „Kursy średnie” w skoroszycie." type="5" refreshedVersion="8" background="1" saveData="1">
    <dbPr connection="Provider=Microsoft.Mashup.OleDb.1;Data Source=$Workbook$;Location=&quot;Kursy średnie&quot;;Extended Properties=&quot;&quot;" command="SELECT * FROM [Kursy średnie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<sst xmlns="http://schemas.openxmlformats.org/spreadsheetml/2006/main" count="129" uniqueCount="113">
  <si>
    <t xml:space="preserve">Psi hotel </t>
  </si>
  <si>
    <t>Imię Psa</t>
  </si>
  <si>
    <t>Rasa psa</t>
  </si>
  <si>
    <t>Imię psa</t>
  </si>
  <si>
    <t>Imię i nazwisko właściciela</t>
  </si>
  <si>
    <t>Numer identyfikacyjny nadany przez hotel</t>
  </si>
  <si>
    <t>Data przyjazdu</t>
  </si>
  <si>
    <t xml:space="preserve">Data wyjazdu </t>
  </si>
  <si>
    <t>Fafik</t>
  </si>
  <si>
    <t>Karmel</t>
  </si>
  <si>
    <t>Posypka</t>
  </si>
  <si>
    <t>Lady</t>
  </si>
  <si>
    <t>Anna Kula</t>
  </si>
  <si>
    <t>Jan Groch</t>
  </si>
  <si>
    <t>Hanna Sandacz</t>
  </si>
  <si>
    <t>Amstaf</t>
  </si>
  <si>
    <t>Owczarek Nowofunlandzki</t>
  </si>
  <si>
    <t>Pudel Toy</t>
  </si>
  <si>
    <t>Maltipoo</t>
  </si>
  <si>
    <t>Wybierz numer identyfikacyjny psa</t>
  </si>
  <si>
    <t>Suzie</t>
  </si>
  <si>
    <t>Popo</t>
  </si>
  <si>
    <t>Goofie</t>
  </si>
  <si>
    <t>Maltańczyk</t>
  </si>
  <si>
    <t>Cotton de Tulear</t>
  </si>
  <si>
    <t>Chau Chau</t>
  </si>
  <si>
    <t>Krzysztof Hufa</t>
  </si>
  <si>
    <t>Karolina Pąk</t>
  </si>
  <si>
    <t>Jakub Wek</t>
  </si>
  <si>
    <t>Szczegółowe dane kontaktowe właścicieli</t>
  </si>
  <si>
    <t>Rasa Psa</t>
  </si>
  <si>
    <t>Imię</t>
  </si>
  <si>
    <t>Nazwisko</t>
  </si>
  <si>
    <t>Miasto</t>
  </si>
  <si>
    <t>Kod pocztowy</t>
  </si>
  <si>
    <t>numer telefonu</t>
  </si>
  <si>
    <t>Bank</t>
  </si>
  <si>
    <t>konto bankowe</t>
  </si>
  <si>
    <t>Imię i nazwisko</t>
  </si>
  <si>
    <t>Anna</t>
  </si>
  <si>
    <t>Jan</t>
  </si>
  <si>
    <t>Andrzej</t>
  </si>
  <si>
    <t>Andrzej Fufa</t>
  </si>
  <si>
    <t>Hanna</t>
  </si>
  <si>
    <t xml:space="preserve">krzysztof </t>
  </si>
  <si>
    <t>Karolina</t>
  </si>
  <si>
    <t>Jakub</t>
  </si>
  <si>
    <t xml:space="preserve">Kula </t>
  </si>
  <si>
    <t>Groch</t>
  </si>
  <si>
    <t>Fufa</t>
  </si>
  <si>
    <t>Sandacz</t>
  </si>
  <si>
    <t>Hufa</t>
  </si>
  <si>
    <t>Pąk</t>
  </si>
  <si>
    <t>Wek</t>
  </si>
  <si>
    <t>222-333-444</t>
  </si>
  <si>
    <t>234-897-889</t>
  </si>
  <si>
    <t>273-987-482</t>
  </si>
  <si>
    <t>983-102-462</t>
  </si>
  <si>
    <t>824-090-467</t>
  </si>
  <si>
    <t>999-453-222</t>
  </si>
  <si>
    <t>900-400-444</t>
  </si>
  <si>
    <t>Płock</t>
  </si>
  <si>
    <t>Kalisz</t>
  </si>
  <si>
    <t>Rzeszów</t>
  </si>
  <si>
    <t>Radom</t>
  </si>
  <si>
    <t>Katowice</t>
  </si>
  <si>
    <t>Gdańsk</t>
  </si>
  <si>
    <t>Rybnik</t>
  </si>
  <si>
    <t>54-233</t>
  </si>
  <si>
    <t>81-237</t>
  </si>
  <si>
    <t>98-453</t>
  </si>
  <si>
    <t>11-323</t>
  </si>
  <si>
    <t>98-030</t>
  </si>
  <si>
    <t>22-439</t>
  </si>
  <si>
    <t>17-362</t>
  </si>
  <si>
    <t>Millenium</t>
  </si>
  <si>
    <t>Pekao SA</t>
  </si>
  <si>
    <t>mBank</t>
  </si>
  <si>
    <t>Alior Bank</t>
  </si>
  <si>
    <t>Santander BP</t>
  </si>
  <si>
    <t>BNP Paribas</t>
  </si>
  <si>
    <t>Data przyjazdu Psa</t>
  </si>
  <si>
    <t>Data wyjazdu Psa</t>
  </si>
  <si>
    <t>Numer identyfikacyjny Psa</t>
  </si>
  <si>
    <t>Ilość dni  pobytu</t>
  </si>
  <si>
    <t>L.p</t>
  </si>
  <si>
    <t>-</t>
  </si>
  <si>
    <t>Kwota za pobyt</t>
  </si>
  <si>
    <t>Kwota za dzieńpobytu =</t>
  </si>
  <si>
    <t xml:space="preserve">Stały klient </t>
  </si>
  <si>
    <t>Tak</t>
  </si>
  <si>
    <t>Nie</t>
  </si>
  <si>
    <t xml:space="preserve">Tak </t>
  </si>
  <si>
    <t>Dodatkowe smakołyki szt.</t>
  </si>
  <si>
    <t>W razie problemów z psem:</t>
  </si>
  <si>
    <t>proszę zadzwonić pod numer :</t>
  </si>
  <si>
    <t>TO</t>
  </si>
  <si>
    <t>1 USD</t>
  </si>
  <si>
    <t>1 EUR</t>
  </si>
  <si>
    <t>1 CHF</t>
  </si>
  <si>
    <t>1 GBP</t>
  </si>
  <si>
    <t>Waluta</t>
  </si>
  <si>
    <t>Kurs średni</t>
  </si>
  <si>
    <t xml:space="preserve">Kwota wyświetlana w </t>
  </si>
  <si>
    <t>1 ZŁ</t>
  </si>
  <si>
    <t xml:space="preserve">1 szt. Smakołyka = </t>
  </si>
  <si>
    <t>Stały klient ma =            -</t>
  </si>
  <si>
    <t>Kliknij w komórkę poniżej</t>
  </si>
  <si>
    <t>Właściciel</t>
  </si>
  <si>
    <t>Adres Właściciela</t>
  </si>
  <si>
    <t>Kwota za dodatkowe smakołyki</t>
  </si>
  <si>
    <t>Stały klient</t>
  </si>
  <si>
    <t>Koszt finalny z rabatem dla stałych klientów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</si>
</sst>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4" formatCode="_-* #,##0.00\ &quot;zł&quot;_-;\-* #,##0.00\ &quot;zł&quot;_-;_-* &quot;-&quot;??\ &quot;zł&quot;_-;_-@_-"/>
    <numFmt numFmtId="164" formatCode="dd/mmm/yyyy"/>
    <numFmt numFmtId="165" formatCode="[$-415]d\ mmm\ yy;@"/>
    <numFmt numFmtId="166" formatCode="_-* #,##0.0\ &quot;zł&quot;_-;\-* #,##0.0\ &quot;zł&quot;_-;_-* &quot;-&quot;??\ &quot;zł&quot;_-;_-@_-"/>
    <numFmt numFmtId="167" formatCode="_-* #,##0\ &quot;zł&quot;_-;\-* #,##0\ &quot;zł&quot;_-;_-* &quot;-&quot;??\ &quot;zł&quot;_-;_-@_-"/>
    <numFmt numFmtId="168" formatCode="_-* #,##0.0\ &quot;zł&quot;_-;\-* #,##0.0\ &quot;zł&quot;_-;_-* &quot;-&quot;?\ &quot;zł&quot;_-;_-@_-"/>
  </numFmts>
  <fonts count="7" x14ac:knownFonts="1">
    <font>
      <sz val="11"/>
      <color theme="1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  <font>
      <sz val="11"/>
      <color theme="0"/>
      <name val="Calibri"/>
      <family val="2"/>
      <charset val="238"/>
      <scheme val="minor"/>
    </font>
    <font>
      <sz val="11"/>
      <color theme="1"/>
      <name val="Arial Rounded MT Bold"/>
      <family val="2"/>
    </font>
    <font>
      <sz val="11"/>
      <color theme="1"/>
      <name val="Calibri"/>
      <family val="2"/>
      <charset val="238"/>
      <scheme val="minor"/>
    </font>
    <font>
      <sz val="8"/>
      <color rgb="FF000000"/>
      <name val="Segoe UI"/>
      <family val="2"/>
      <charset val="238"/>
    </font>
    <font>
      <sz val="11"/>
      <color rgb="FF000000"/>
      <name val="Calibri"/>
      <family val="2"/>
      <charset val="238"/>
    </font>
  </fonts>
  <fills count="7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249977111117893"/>
        <bgColor indexed="64"/>
      </patternFill>
    </fill>
  </fills>
  <borders count="3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44" fontId="4" fillId="0" borderId="0" applyFont="0" applyFill="0" applyBorder="0" applyAlignment="0" applyProtection="0"/>
    <xf numFmtId="9" fontId="4" fillId="0" borderId="0" applyFont="0" applyFill="0" applyBorder="0" applyAlignment="0" applyProtection="0"/>
  </cellStyleXfs>
  <cellXfs count="29">
    <xf numFmtId="0" fontId="0" fillId="0" borderId="0" xfId="0"/>
    <xf numFmtId="0" fontId="0" fillId="0" borderId="0" xfId="0" applyAlignment="1">
      <alignment wrapText="1"/>
    </xf>
    <xf numFmtId="0" fontId="0" fillId="0" borderId="0" xfId="0" applyAlignment="1">
      <alignment horizontal="center" vertical="center"/>
    </xf>
    <xf numFmtId="164" fontId="0" fillId="0" borderId="0" xfId="0" applyNumberFormat="1"/>
    <xf numFmtId="0" fontId="2" fillId="0" borderId="0" xfId="0" applyFont="1"/>
    <xf numFmtId="0" fontId="1" fillId="0" borderId="0" xfId="0" applyFont="1"/>
    <xf numFmtId="0" fontId="3" fillId="3" borderId="1" xfId="0" applyFont="1" applyFill="1" applyBorder="1"/>
    <xf numFmtId="0" fontId="0" fillId="3" borderId="0" xfId="0" applyFill="1" applyAlignment="1">
      <alignment horizontal="center" vertical="center"/>
    </xf>
    <xf numFmtId="0" fontId="0" fillId="3" borderId="0" xfId="0" applyFill="1" applyAlignment="1">
      <alignment horizontal="center" vertical="center" wrapText="1"/>
    </xf>
    <xf numFmtId="165" fontId="0" fillId="0" borderId="0" xfId="0" applyNumberFormat="1"/>
    <xf numFmtId="44" fontId="0" fillId="0" borderId="0" xfId="1" applyFont="1"/>
    <xf numFmtId="0" fontId="0" fillId="2" borderId="0" xfId="0" applyFill="1"/>
    <xf numFmtId="44" fontId="0" fillId="2" borderId="0" xfId="1" applyFont="1" applyFill="1"/>
    <xf numFmtId="9" fontId="0" fillId="2" borderId="0" xfId="2" applyFont="1" applyFill="1"/>
    <xf numFmtId="0" fontId="0" fillId="5" borderId="0" xfId="0" applyFill="1"/>
    <xf numFmtId="0" fontId="0" fillId="3" borderId="0" xfId="0" applyFill="1" applyAlignment="1">
      <alignment wrapText="1"/>
    </xf>
    <xf numFmtId="0" fontId="0" fillId="3" borderId="2" xfId="0" applyFill="1" applyBorder="1" applyAlignment="1">
      <alignment horizontal="center" vertical="center"/>
    </xf>
    <xf numFmtId="0" fontId="0" fillId="3" borderId="2" xfId="0" applyFill="1" applyBorder="1" applyAlignment="1">
      <alignment horizontal="center" vertical="center" wrapText="1"/>
    </xf>
    <xf numFmtId="0" fontId="2" fillId="4" borderId="2" xfId="0" applyFont="1" applyFill="1" applyBorder="1" applyAlignment="1">
      <alignment horizontal="center" vertical="center" wrapText="1"/>
    </xf>
    <xf numFmtId="0" fontId="0" fillId="0" borderId="2" xfId="0" applyBorder="1"/>
    <xf numFmtId="167" fontId="0" fillId="0" borderId="2" xfId="0" applyNumberFormat="1" applyBorder="1"/>
    <xf numFmtId="166" fontId="0" fillId="0" borderId="2" xfId="1" applyNumberFormat="1" applyFont="1" applyBorder="1"/>
    <xf numFmtId="168" fontId="0" fillId="6" borderId="2" xfId="0" applyNumberFormat="1" applyFill="1" applyBorder="1"/>
    <xf numFmtId="0" fontId="1" fillId="2" borderId="2" xfId="0" applyFont="1" applyFill="1" applyBorder="1"/>
    <xf numFmtId="0" fontId="0" fillId="0" borderId="2" xfId="0" applyBorder="1" applyAlignment="1">
      <alignment horizontal="center" vertical="center"/>
    </xf>
    <xf numFmtId="0" fontId="1" fillId="2" borderId="2" xfId="0" applyFont="1" applyFill="1" applyBorder="1" applyAlignment="1">
      <alignment wrapText="1"/>
    </xf>
    <xf numFmtId="165" fontId="0" fillId="0" borderId="2" xfId="0" applyNumberFormat="1" applyBorder="1" applyAlignment="1">
      <alignment horizontal="center" vertical="center"/>
    </xf>
    <xf numFmtId="0" fontId="1" fillId="2" borderId="2" xfId="0" applyFont="1" applyFill="1" applyBorder="1" applyAlignment="1">
      <alignment vertical="center" wrapText="1"/>
    </xf>
    <xf numFmtId="165" fontId="0" fillId="0" borderId="2" xfId="0" applyNumberFormat="1" applyBorder="1" applyAlignment="1">
      <alignment horizontal="center" vertical="center" wrapText="1"/>
    </xf>
  </cellXfs>
  <cellStyles count="3">
    <cellStyle name="Normalny" xfId="0" builtinId="0"/>
    <cellStyle name="Procentowy" xfId="2" builtinId="5"/>
    <cellStyle name="Walutowy" xfId="1" builtinId="4"/>
  </cellStyles>
  <dxfs count="17">
    <dxf>
      <numFmt numFmtId="0" formatCode="General"/>
    </dxf>
    <dxf>
      <numFmt numFmtId="169" formatCode="#,##0.00\ [$€-1]"/>
    </dxf>
    <dxf>
      <numFmt numFmtId="170" formatCode="[$$-409]#,##0.00"/>
    </dxf>
    <dxf>
      <numFmt numFmtId="171" formatCode="[$€-2]\ #,##0.00"/>
    </dxf>
    <dxf>
      <numFmt numFmtId="172" formatCode="#,##0.00\ [$CHF-100C]"/>
    </dxf>
    <dxf>
      <numFmt numFmtId="173" formatCode="[$£-809]#,##0.00"/>
    </dxf>
    <dxf>
      <numFmt numFmtId="174" formatCode="#,##0.00\ &quot;zł&quot;"/>
    </dxf>
    <dxf>
      <numFmt numFmtId="170" formatCode="[$$-409]#,##0.00"/>
    </dxf>
    <dxf>
      <numFmt numFmtId="169" formatCode="#,##0.00\ [$€-1]"/>
    </dxf>
    <dxf>
      <numFmt numFmtId="175" formatCode="#,##0.00\ [$CHF]" x16r2:formatCode16="#,##0.00\ [$CHF-gsw-CH]"/>
    </dxf>
    <dxf>
      <numFmt numFmtId="173" formatCode="[$£-809]#,##0.00"/>
    </dxf>
    <dxf>
      <numFmt numFmtId="174" formatCode="#,##0.00\ &quot;zł&quot;"/>
    </dxf>
    <dxf>
      <numFmt numFmtId="170" formatCode="[$$-409]#,##0.00"/>
    </dxf>
    <dxf>
      <numFmt numFmtId="171" formatCode="[$€-2]\ #,##0.00"/>
    </dxf>
    <dxf>
      <numFmt numFmtId="172" formatCode="#,##0.00\ [$CHF-100C]"/>
    </dxf>
    <dxf>
      <numFmt numFmtId="173" formatCode="[$£-809]#,##0.00"/>
    </dxf>
    <dxf>
      <numFmt numFmtId="174" formatCode="#,##0.00\ &quot;zł&quot;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openxmlformats.org/officeDocument/2006/relationships/calcChain" Target="calcChain.xml"/><Relationship Id="rId5" Type="http://schemas.openxmlformats.org/officeDocument/2006/relationships/theme" Target="theme/theme1.xml"/><Relationship Id="rId10" Type="http://schemas.microsoft.com/office/2017/10/relationships/person" Target="persons/perso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Spin" dx="31" fmlaLink="$L$6" max="30000" page="10" val="5"/>
</file>

<file path=xl/ctrlProps/ctrlProp2.xml><?xml version="1.0" encoding="utf-8"?>
<formControlPr xmlns="http://schemas.microsoft.com/office/spreadsheetml/2009/9/main" objectType="Spin" dx="31" fmlaLink="$L$7" max="30000" page="10" val="4"/>
</file>

<file path=xl/ctrlProps/ctrlProp3.xml><?xml version="1.0" encoding="utf-8"?>
<formControlPr xmlns="http://schemas.microsoft.com/office/spreadsheetml/2009/9/main" objectType="Spin" dx="31" fmlaLink="$L$8" max="30000" page="10" val="4"/>
</file>

<file path=xl/ctrlProps/ctrlProp4.xml><?xml version="1.0" encoding="utf-8"?>
<formControlPr xmlns="http://schemas.microsoft.com/office/spreadsheetml/2009/9/main" objectType="Spin" dx="31" fmlaLink="$L$9" max="30000" page="10" val="0"/>
</file>

<file path=xl/ctrlProps/ctrlProp5.xml><?xml version="1.0" encoding="utf-8"?>
<formControlPr xmlns="http://schemas.microsoft.com/office/spreadsheetml/2009/9/main" objectType="Spin" dx="31" fmlaLink="$L$10" max="30000" page="10" val="5"/>
</file>

<file path=xl/ctrlProps/ctrlProp6.xml><?xml version="1.0" encoding="utf-8"?>
<formControlPr xmlns="http://schemas.microsoft.com/office/spreadsheetml/2009/9/main" objectType="List" dx="31" fmlaLink="$C$12" fmlaRange="Psy!$B$4:$B$10" noThreeD="1" sel="7" val="2"/>
</file>

<file path=xl/ctrlProps/ctrlProp7.xml><?xml version="1.0" encoding="utf-8"?>
<formControlPr xmlns="http://schemas.microsoft.com/office/spreadsheetml/2009/9/main" objectType="Drop" dropStyle="combo" dx="31" fmlaLink="$P$3" fmlaRange="'Kursy średnie'!$C$6:$C$10" noThreeD="1" sel="3" val="0"/>
</file>

<file path=xl/ctrlProps/ctrlProp8.xml><?xml version="1.0" encoding="utf-8"?>
<formControlPr xmlns="http://schemas.microsoft.com/office/spreadsheetml/2009/9/main" objectType="GBox" noThreeD="1"/>
</file>

<file path=xl/ctrlProps/ctrlProp9.xml><?xml version="1.0" encoding="utf-8"?>
<formControlPr xmlns="http://schemas.microsoft.com/office/spreadsheetml/2009/9/main" objectType="Radio" firstButton="1" fmlaLink="$H$13" lockText="1" noThreeD="1"/>
</file>

<file path=xl/ctrlProps/ctrlProp10.xml><?xml version="1.0" encoding="utf-8"?>
<formControlPr xmlns="http://schemas.microsoft.com/office/spreadsheetml/2009/9/main" objectType="Radio" checked="Checked" lockText="1" noThreeD="1"/>
</file>

<file path=xl/ctrlProps/ctrlProp11.xml><?xml version="1.0" encoding="utf-8"?>
<formControlPr xmlns="http://schemas.microsoft.com/office/spreadsheetml/2009/9/main" objectType="GBox" noThreeD="1"/>
</file>

<file path=xl/ctrlProps/ctrlProp12.xml><?xml version="1.0" encoding="utf-8"?>
<formControlPr xmlns="http://schemas.microsoft.com/office/spreadsheetml/2009/9/main" objectType="Radio" checked="Checked" firstButton="1" fmlaLink="$L$14" lockText="1" noThreeD="1"/>
</file>

<file path=xl/ctrlProps/ctrlProp13.xml><?xml version="1.0" encoding="utf-8"?>
<formControlPr xmlns="http://schemas.microsoft.com/office/spreadsheetml/2009/9/main" objectType="Radio" lockText="1" noThreeD="1"/>
</file>

<file path=xl/ctrlProps/ctrlProp14.xml><?xml version="1.0" encoding="utf-8"?>
<formControlPr xmlns="http://schemas.microsoft.com/office/spreadsheetml/2009/9/main" objectType="Radio" lockText="1" noThreeD="1"/>
</file>

<file path=xl/ctrlProps/ctrlProp1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273050</xdr:colOff>
          <xdr:row>5</xdr:row>
          <xdr:rowOff>6350</xdr:rowOff>
        </xdr:from>
        <xdr:to>
          <xdr:col>11</xdr:col>
          <xdr:colOff>476250</xdr:colOff>
          <xdr:row>6</xdr:row>
          <xdr:rowOff>0</xdr:rowOff>
        </xdr:to>
        <xdr:sp macro="" textlink="">
          <xdr:nvSpPr>
            <xdr:cNvPr id="1031" name="Spinner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266700</xdr:colOff>
          <xdr:row>6</xdr:row>
          <xdr:rowOff>19050</xdr:rowOff>
        </xdr:from>
        <xdr:to>
          <xdr:col>11</xdr:col>
          <xdr:colOff>476250</xdr:colOff>
          <xdr:row>6</xdr:row>
          <xdr:rowOff>184150</xdr:rowOff>
        </xdr:to>
        <xdr:sp macro="" textlink="">
          <xdr:nvSpPr>
            <xdr:cNvPr id="1032" name="Spinner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1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285750</xdr:colOff>
          <xdr:row>7</xdr:row>
          <xdr:rowOff>6350</xdr:rowOff>
        </xdr:from>
        <xdr:to>
          <xdr:col>11</xdr:col>
          <xdr:colOff>482600</xdr:colOff>
          <xdr:row>8</xdr:row>
          <xdr:rowOff>12700</xdr:rowOff>
        </xdr:to>
        <xdr:sp macro="" textlink="">
          <xdr:nvSpPr>
            <xdr:cNvPr id="1033" name="Spinner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1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247650</xdr:colOff>
          <xdr:row>8</xdr:row>
          <xdr:rowOff>19050</xdr:rowOff>
        </xdr:from>
        <xdr:to>
          <xdr:col>11</xdr:col>
          <xdr:colOff>488950</xdr:colOff>
          <xdr:row>9</xdr:row>
          <xdr:rowOff>0</xdr:rowOff>
        </xdr:to>
        <xdr:sp macro="" textlink="">
          <xdr:nvSpPr>
            <xdr:cNvPr id="1034" name="Spinner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1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254000</xdr:colOff>
          <xdr:row>9</xdr:row>
          <xdr:rowOff>0</xdr:rowOff>
        </xdr:from>
        <xdr:to>
          <xdr:col>11</xdr:col>
          <xdr:colOff>495300</xdr:colOff>
          <xdr:row>9</xdr:row>
          <xdr:rowOff>184150</xdr:rowOff>
        </xdr:to>
        <xdr:sp macro="" textlink="">
          <xdr:nvSpPr>
            <xdr:cNvPr id="1035" name="Spinner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1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6350</xdr:colOff>
          <xdr:row>7</xdr:row>
          <xdr:rowOff>25400</xdr:rowOff>
        </xdr:from>
        <xdr:to>
          <xdr:col>2</xdr:col>
          <xdr:colOff>914400</xdr:colOff>
          <xdr:row>10</xdr:row>
          <xdr:rowOff>165100</xdr:rowOff>
        </xdr:to>
        <xdr:sp macro="" textlink="">
          <xdr:nvSpPr>
            <xdr:cNvPr id="1037" name="List Box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1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12700</xdr:colOff>
          <xdr:row>1</xdr:row>
          <xdr:rowOff>152400</xdr:rowOff>
        </xdr:from>
        <xdr:to>
          <xdr:col>14</xdr:col>
          <xdr:colOff>635000</xdr:colOff>
          <xdr:row>2</xdr:row>
          <xdr:rowOff>171450</xdr:rowOff>
        </xdr:to>
        <xdr:sp macro="" textlink="">
          <xdr:nvSpPr>
            <xdr:cNvPr id="1049" name="Drop Down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1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1035050</xdr:colOff>
          <xdr:row>12</xdr:row>
          <xdr:rowOff>31750</xdr:rowOff>
        </xdr:from>
        <xdr:to>
          <xdr:col>6</xdr:col>
          <xdr:colOff>844550</xdr:colOff>
          <xdr:row>16</xdr:row>
          <xdr:rowOff>69850</xdr:rowOff>
        </xdr:to>
        <xdr:sp macro="" textlink="">
          <xdr:nvSpPr>
            <xdr:cNvPr id="1057" name="Group Box 33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00000000-0008-0000-0100-00002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pl-PL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Czy pies jest agresywny ?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393700</xdr:colOff>
          <xdr:row>13</xdr:row>
          <xdr:rowOff>165100</xdr:rowOff>
        </xdr:from>
        <xdr:to>
          <xdr:col>6</xdr:col>
          <xdr:colOff>330200</xdr:colOff>
          <xdr:row>14</xdr:row>
          <xdr:rowOff>203200</xdr:rowOff>
        </xdr:to>
        <xdr:sp macro="" textlink="">
          <xdr:nvSpPr>
            <xdr:cNvPr id="1059" name="Option Button 35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1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pl-PL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Tak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406400</xdr:colOff>
          <xdr:row>14</xdr:row>
          <xdr:rowOff>349250</xdr:rowOff>
        </xdr:from>
        <xdr:to>
          <xdr:col>6</xdr:col>
          <xdr:colOff>425450</xdr:colOff>
          <xdr:row>15</xdr:row>
          <xdr:rowOff>228600</xdr:rowOff>
        </xdr:to>
        <xdr:sp macro="" textlink="">
          <xdr:nvSpPr>
            <xdr:cNvPr id="1060" name="Option Button 36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1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pl-PL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Nie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793750</xdr:colOff>
          <xdr:row>12</xdr:row>
          <xdr:rowOff>12700</xdr:rowOff>
        </xdr:from>
        <xdr:to>
          <xdr:col>11</xdr:col>
          <xdr:colOff>692150</xdr:colOff>
          <xdr:row>16</xdr:row>
          <xdr:rowOff>336550</xdr:rowOff>
        </xdr:to>
        <xdr:sp macro="" textlink="">
          <xdr:nvSpPr>
            <xdr:cNvPr id="1064" name="Group Box 40" hidden="1">
              <a:extLst>
                <a:ext uri="{63B3BB69-23CF-44E3-9099-C40C66FF867C}">
                  <a14:compatExt spid="_x0000_s1064"/>
                </a:ext>
                <a:ext uri="{FF2B5EF4-FFF2-40B4-BE49-F238E27FC236}">
                  <a16:creationId xmlns:a16="http://schemas.microsoft.com/office/drawing/2014/main" id="{00000000-0008-0000-0100-00002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pl-PL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Płatność za pobyt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241300</xdr:colOff>
          <xdr:row>13</xdr:row>
          <xdr:rowOff>101600</xdr:rowOff>
        </xdr:from>
        <xdr:to>
          <xdr:col>11</xdr:col>
          <xdr:colOff>222250</xdr:colOff>
          <xdr:row>14</xdr:row>
          <xdr:rowOff>139700</xdr:rowOff>
        </xdr:to>
        <xdr:sp macro="" textlink="">
          <xdr:nvSpPr>
            <xdr:cNvPr id="1065" name="Option Button 41" hidden="1">
              <a:extLst>
                <a:ext uri="{63B3BB69-23CF-44E3-9099-C40C66FF867C}">
                  <a14:compatExt spid="_x0000_s1065"/>
                </a:ext>
                <a:ext uri="{FF2B5EF4-FFF2-40B4-BE49-F238E27FC236}">
                  <a16:creationId xmlns:a16="http://schemas.microsoft.com/office/drawing/2014/main" id="{00000000-0008-0000-0100-00002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pl-PL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Gotówka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241300</xdr:colOff>
          <xdr:row>14</xdr:row>
          <xdr:rowOff>285750</xdr:rowOff>
        </xdr:from>
        <xdr:to>
          <xdr:col>11</xdr:col>
          <xdr:colOff>374650</xdr:colOff>
          <xdr:row>15</xdr:row>
          <xdr:rowOff>114300</xdr:rowOff>
        </xdr:to>
        <xdr:sp macro="" textlink="">
          <xdr:nvSpPr>
            <xdr:cNvPr id="1066" name="Option Button 42" hidden="1">
              <a:extLst>
                <a:ext uri="{63B3BB69-23CF-44E3-9099-C40C66FF867C}">
                  <a14:compatExt spid="_x0000_s1066"/>
                </a:ext>
                <a:ext uri="{FF2B5EF4-FFF2-40B4-BE49-F238E27FC236}">
                  <a16:creationId xmlns:a16="http://schemas.microsoft.com/office/drawing/2014/main" id="{00000000-0008-0000-0100-00002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pl-PL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Przelew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247650</xdr:colOff>
          <xdr:row>15</xdr:row>
          <xdr:rowOff>241300</xdr:rowOff>
        </xdr:from>
        <xdr:to>
          <xdr:col>11</xdr:col>
          <xdr:colOff>254000</xdr:colOff>
          <xdr:row>16</xdr:row>
          <xdr:rowOff>63500</xdr:rowOff>
        </xdr:to>
        <xdr:sp macro="" textlink="">
          <xdr:nvSpPr>
            <xdr:cNvPr id="1067" name="Option Button 43" hidden="1">
              <a:extLst>
                <a:ext uri="{63B3BB69-23CF-44E3-9099-C40C66FF867C}">
                  <a14:compatExt spid="_x0000_s1067"/>
                </a:ext>
                <a:ext uri="{FF2B5EF4-FFF2-40B4-BE49-F238E27FC236}">
                  <a16:creationId xmlns:a16="http://schemas.microsoft.com/office/drawing/2014/main" id="{00000000-0008-0000-0100-00002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pl-PL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BLIK</a:t>
              </a:r>
            </a:p>
          </xdr:txBody>
        </xdr:sp>
        <xdr:clientData/>
      </xdr:twoCellAnchor>
    </mc:Choice>
    <mc:Fallback/>
  </mc:AlternateContent>
  <xdr:twoCellAnchor editAs="oneCell">
    <xdr:from>
      <xdr:col>1</xdr:col>
      <xdr:colOff>434421</xdr:colOff>
      <xdr:row>21</xdr:row>
      <xdr:rowOff>178375</xdr:rowOff>
    </xdr:from>
    <xdr:to>
      <xdr:col>4</xdr:col>
      <xdr:colOff>43342</xdr:colOff>
      <xdr:row>31</xdr:row>
      <xdr:rowOff>131233</xdr:rowOff>
    </xdr:to>
    <xdr:pic macro="[0]!Makro1">
      <xdr:nvPicPr>
        <xdr:cNvPr id="2" name="Obraz 1" descr="Obraz znaleziony dla: ikona śmietnik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39183" y="5580915"/>
          <a:ext cx="1775984" cy="176714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266700</xdr:colOff>
          <xdr:row>25</xdr:row>
          <xdr:rowOff>114300</xdr:rowOff>
        </xdr:from>
        <xdr:to>
          <xdr:col>6</xdr:col>
          <xdr:colOff>552450</xdr:colOff>
          <xdr:row>28</xdr:row>
          <xdr:rowOff>63500</xdr:rowOff>
        </xdr:to>
        <xdr:sp macro="" textlink="">
          <xdr:nvSpPr>
            <xdr:cNvPr id="1076" name="Button 52" hidden="1">
              <a:extLst>
                <a:ext uri="{63B3BB69-23CF-44E3-9099-C40C66FF867C}">
                  <a14:compatExt spid="_x0000_s1076"/>
                </a:ext>
                <a:ext uri="{FF2B5EF4-FFF2-40B4-BE49-F238E27FC236}">
                  <a16:creationId xmlns:a16="http://schemas.microsoft.com/office/drawing/2014/main" id="{00000000-0008-0000-0100-00003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Czyszczenie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29C80382-40A9-451E-BCBB-222FB23AEBE3}" autoFormatId="16" applyNumberFormats="0" applyBorderFormats="0" applyFontFormats="0" applyPatternFormats="0" applyAlignmentFormats="0" applyWidthHeightFormats="0">
  <queryTableRefresh nextId="3">
    <queryTableFields count="2">
      <queryTableField id="1" name="Column1" tableColumnId="1"/>
      <queryTableField id="2" name="Column2" tableColumnId="2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CF7296F-F037-4397-AC39-E1630C5F1305}" name="Kursy_średnie" displayName="Kursy_średnie" ref="C5:D10" tableType="queryTable" totalsRowShown="0">
  <autoFilter ref="C5:D10" xr:uid="{4CF7296F-F037-4397-AC39-E1630C5F1305}"/>
  <tableColumns count="2">
    <tableColumn id="1" xr3:uid="{B48909A0-537A-4FAD-900E-81C5C45CCEC0}" uniqueName="1" name="Waluta" queryTableFieldId="1" dataDxfId="0"/>
    <tableColumn id="2" xr3:uid="{A0C9EB88-F0EB-44E3-8C2F-038070D9A6D8}" uniqueName="2" name="Kurs średni" queryTableFieldId="2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Pakiet 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1648AE-EA11-4BAB-83F8-424D84C36452}">
  <sheetPr codeName="Arkusz2"/>
  <dimension ref="B3:N13"/>
  <sheetViews>
    <sheetView workbookViewId="0">
      <selection activeCell="K10" sqref="K10"/>
    </sheetView>
  </sheetViews>
  <sheetFormatPr defaultRowHeight="14.5" x14ac:dyDescent="0.35"/>
  <cols>
    <col min="1" max="1" width="5" customWidth="1"/>
    <col min="2" max="2" width="15.6328125" customWidth="1"/>
    <col min="4" max="4" width="16.08984375" customWidth="1"/>
    <col min="5" max="5" width="13.54296875" bestFit="1" customWidth="1"/>
    <col min="6" max="7" width="10.6328125" bestFit="1" customWidth="1"/>
  </cols>
  <sheetData>
    <row r="3" spans="2:14" ht="58" x14ac:dyDescent="0.35">
      <c r="B3" s="15" t="s">
        <v>5</v>
      </c>
      <c r="C3" s="7" t="s">
        <v>3</v>
      </c>
      <c r="D3" s="7" t="s">
        <v>2</v>
      </c>
      <c r="E3" s="8" t="s">
        <v>4</v>
      </c>
      <c r="F3" s="8" t="s">
        <v>6</v>
      </c>
      <c r="G3" s="8" t="s">
        <v>7</v>
      </c>
      <c r="H3" s="8" t="s">
        <v>89</v>
      </c>
      <c r="I3" s="2"/>
      <c r="J3" s="2"/>
      <c r="K3" s="2"/>
      <c r="L3" s="2"/>
      <c r="M3" s="2"/>
      <c r="N3" s="2"/>
    </row>
    <row r="4" spans="2:14" x14ac:dyDescent="0.35">
      <c r="B4">
        <v>6012</v>
      </c>
      <c r="C4" t="s">
        <v>8</v>
      </c>
      <c r="D4" t="s">
        <v>15</v>
      </c>
      <c r="E4" t="s">
        <v>12</v>
      </c>
      <c r="F4" s="3">
        <v>44900</v>
      </c>
      <c r="G4" s="3">
        <v>44902</v>
      </c>
      <c r="H4" s="2" t="s">
        <v>90</v>
      </c>
    </row>
    <row r="5" spans="2:14" ht="27" customHeight="1" x14ac:dyDescent="0.35">
      <c r="B5">
        <v>6013</v>
      </c>
      <c r="C5" t="s">
        <v>9</v>
      </c>
      <c r="D5" s="1" t="s">
        <v>16</v>
      </c>
      <c r="E5" t="s">
        <v>13</v>
      </c>
      <c r="F5" s="3">
        <v>44901</v>
      </c>
      <c r="G5" s="3">
        <v>44908</v>
      </c>
      <c r="H5" s="2" t="s">
        <v>91</v>
      </c>
    </row>
    <row r="6" spans="2:14" x14ac:dyDescent="0.35">
      <c r="B6">
        <v>6014</v>
      </c>
      <c r="C6" t="s">
        <v>10</v>
      </c>
      <c r="D6" t="s">
        <v>17</v>
      </c>
      <c r="E6" t="s">
        <v>42</v>
      </c>
      <c r="F6" s="3">
        <v>44902</v>
      </c>
      <c r="G6" s="3">
        <v>44913</v>
      </c>
      <c r="H6" s="2" t="s">
        <v>91</v>
      </c>
    </row>
    <row r="7" spans="2:14" x14ac:dyDescent="0.35">
      <c r="B7">
        <v>6015</v>
      </c>
      <c r="C7" t="s">
        <v>11</v>
      </c>
      <c r="D7" t="s">
        <v>18</v>
      </c>
      <c r="E7" t="s">
        <v>14</v>
      </c>
      <c r="F7" s="3">
        <v>44903</v>
      </c>
      <c r="G7" s="3">
        <v>44905</v>
      </c>
      <c r="H7" s="2" t="s">
        <v>90</v>
      </c>
    </row>
    <row r="8" spans="2:14" x14ac:dyDescent="0.35">
      <c r="B8">
        <v>6016</v>
      </c>
      <c r="C8" t="s">
        <v>20</v>
      </c>
      <c r="D8" t="s">
        <v>23</v>
      </c>
      <c r="E8" t="s">
        <v>26</v>
      </c>
      <c r="F8" s="3">
        <v>44904</v>
      </c>
      <c r="G8" s="3">
        <v>44909</v>
      </c>
      <c r="H8" s="2" t="s">
        <v>92</v>
      </c>
    </row>
    <row r="9" spans="2:14" x14ac:dyDescent="0.35">
      <c r="B9">
        <v>6017</v>
      </c>
      <c r="C9" t="s">
        <v>21</v>
      </c>
      <c r="D9" t="s">
        <v>24</v>
      </c>
      <c r="E9" t="s">
        <v>27</v>
      </c>
      <c r="F9" s="3">
        <v>44905</v>
      </c>
      <c r="G9" s="3">
        <v>44917</v>
      </c>
      <c r="H9" s="2" t="s">
        <v>90</v>
      </c>
    </row>
    <row r="10" spans="2:14" x14ac:dyDescent="0.35">
      <c r="B10">
        <v>6018</v>
      </c>
      <c r="C10" t="s">
        <v>22</v>
      </c>
      <c r="D10" t="s">
        <v>25</v>
      </c>
      <c r="E10" t="s">
        <v>28</v>
      </c>
      <c r="F10" s="3">
        <v>44906</v>
      </c>
      <c r="G10" s="3">
        <v>44919</v>
      </c>
      <c r="H10" s="2" t="s">
        <v>91</v>
      </c>
    </row>
    <row r="11" spans="2:14" x14ac:dyDescent="0.35">
      <c r="B11" t="s">
        <v>86</v>
      </c>
    </row>
    <row r="13" spans="2:14" x14ac:dyDescent="0.35">
      <c r="B13" t="s">
        <v>88</v>
      </c>
      <c r="D13" s="10">
        <v>120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DC657F-7420-4F2F-8565-A35414E9CD40}">
  <sheetPr codeName="Arkusz1"/>
  <dimension ref="B2:P21"/>
  <sheetViews>
    <sheetView tabSelected="1" zoomScale="85" zoomScaleNormal="80" workbookViewId="0">
      <selection activeCell="N6" sqref="N6:N10"/>
    </sheetView>
  </sheetViews>
  <sheetFormatPr defaultRowHeight="14.5" x14ac:dyDescent="0.35"/>
  <cols>
    <col min="2" max="2" width="7" customWidth="1"/>
    <col min="3" max="3" width="13.1796875" customWidth="1"/>
    <col min="4" max="4" width="10.81640625" customWidth="1"/>
    <col min="5" max="5" width="14.90625" customWidth="1"/>
    <col min="6" max="6" width="6.1796875" customWidth="1"/>
    <col min="7" max="7" width="14" customWidth="1"/>
    <col min="8" max="8" width="11.26953125" customWidth="1"/>
    <col min="10" max="10" width="13.54296875" customWidth="1"/>
    <col min="11" max="11" width="10.54296875" bestFit="1" customWidth="1"/>
    <col min="12" max="12" width="11.26953125" customWidth="1"/>
    <col min="13" max="13" width="11" customWidth="1"/>
    <col min="15" max="15" width="15.90625" customWidth="1"/>
  </cols>
  <sheetData>
    <row r="2" spans="2:16" ht="15" thickBot="1" x14ac:dyDescent="0.4">
      <c r="H2" s="11" t="s">
        <v>105</v>
      </c>
      <c r="I2" s="11"/>
      <c r="J2" s="12">
        <v>5</v>
      </c>
    </row>
    <row r="3" spans="2:16" ht="15" thickBot="1" x14ac:dyDescent="0.4">
      <c r="C3" s="6" t="s">
        <v>0</v>
      </c>
      <c r="H3" s="11" t="s">
        <v>106</v>
      </c>
      <c r="I3" s="11"/>
      <c r="J3" s="13">
        <v>0.1</v>
      </c>
      <c r="M3" s="14" t="s">
        <v>103</v>
      </c>
      <c r="N3" s="14"/>
      <c r="P3" s="4">
        <v>3</v>
      </c>
    </row>
    <row r="5" spans="2:16" ht="43" customHeight="1" x14ac:dyDescent="0.35">
      <c r="F5" s="16" t="s">
        <v>85</v>
      </c>
      <c r="G5" s="17" t="s">
        <v>83</v>
      </c>
      <c r="H5" s="17" t="s">
        <v>3</v>
      </c>
      <c r="I5" s="17" t="s">
        <v>84</v>
      </c>
      <c r="J5" s="17" t="s">
        <v>4</v>
      </c>
      <c r="K5" s="17" t="s">
        <v>87</v>
      </c>
      <c r="L5" s="17" t="s">
        <v>93</v>
      </c>
      <c r="M5" s="17" t="s">
        <v>110</v>
      </c>
      <c r="N5" s="17" t="s">
        <v>111</v>
      </c>
      <c r="O5" s="18" t="s">
        <v>112</v>
      </c>
    </row>
    <row r="6" spans="2:16" x14ac:dyDescent="0.35">
      <c r="F6" s="19">
        <f>IF(G6="","",COUNTA($G$6:G6))</f>
        <v>1</v>
      </c>
      <c r="G6" s="19">
        <v>6015</v>
      </c>
      <c r="H6" s="19" t="str">
        <f>IF(G6="","-",VLOOKUP(Arkusz!G6,Psy!$B$4:$G$10,2,FALSE))</f>
        <v>Lady</v>
      </c>
      <c r="I6" s="19">
        <f>IF(G6="","-",VLOOKUP(G6,Psy!$B$4:$G$10,6,FALSE)-VLOOKUP(Arkusz!G6,Psy!$B$4:$G$10,5,FALSE))</f>
        <v>2</v>
      </c>
      <c r="J6" s="19" t="str">
        <f>IF(G6="","-",VLOOKUP(G6,Psy!$B$4:$G$10,4,FALSE))</f>
        <v>Hanna Sandacz</v>
      </c>
      <c r="K6" s="20">
        <f>IF(G6="","-",IF($P$3=1,(I6*Psy!$D$13)/'Kursy średnie'!$D$6,IF(Arkusz!$P$3=2,(I6*Psy!$D$13)/'Kursy średnie'!$D$7,IF(Arkusz!$P$3=3,(I6*Psy!$D$13)/'Kursy średnie'!$D$8,IF(Arkusz!$P$3=4,(I6*Psy!$D$13)/'Kursy średnie'!$D$9,IF(Arkusz!$P$3=5,(I6*Psy!$D$13),0))))))</f>
        <v>50.530570995452251</v>
      </c>
      <c r="L6" s="19">
        <v>5</v>
      </c>
      <c r="M6" s="21">
        <f>IF(G6="","-",IF($P$3=1,(L6*$J$2)/'Kursy średnie'!$D$6,IF(Arkusz!$P$3=2,(L6*$J$2)/'Kursy średnie'!$D$7,IF(Arkusz!$P$3=3,(L6*$J$2)/'Kursy średnie'!$D$8,IF(Arkusz!$P$3=4,(L6*$J$2)/'Kursy średnie'!$D$9,IF(Arkusz!$P$3=5,(L6*$J$2),0))))))</f>
        <v>5.2636011453596092</v>
      </c>
      <c r="N6" s="19" t="str">
        <f>VLOOKUP(G6,Psy!$B$4:$H$10,7,FALSE)</f>
        <v>Tak</v>
      </c>
      <c r="O6" s="22">
        <f>IF(N6="Tak",(K6+M6)-$J$3,(K6+M6))</f>
        <v>55.694172140811858</v>
      </c>
    </row>
    <row r="7" spans="2:16" x14ac:dyDescent="0.35">
      <c r="B7" t="s">
        <v>19</v>
      </c>
      <c r="F7" s="19">
        <f>IF(G7="","",COUNTA($G$6:G7))</f>
        <v>2</v>
      </c>
      <c r="G7" s="19">
        <v>6018</v>
      </c>
      <c r="H7" s="19" t="str">
        <f>IF(G7="","-",VLOOKUP(Arkusz!G7,Psy!$B$4:$G$10,2,FALSE))</f>
        <v>Goofie</v>
      </c>
      <c r="I7" s="19">
        <f>IF(G7="","-",VLOOKUP(G7,Psy!$B$4:$G$10,6,FALSE)-VLOOKUP(Arkusz!G7,Psy!$B$4:$G$10,5,FALSE))</f>
        <v>13</v>
      </c>
      <c r="J7" s="19" t="str">
        <f>IF(G7="","-",VLOOKUP(G7,Psy!$B$4:$G$10,4,FALSE))</f>
        <v>Jakub Wek</v>
      </c>
      <c r="K7" s="20">
        <f>IF(G7="","-",IF($P$3=1,(I7*Psy!$D$13)/'Kursy średnie'!$D$6,IF(Arkusz!$P$3=2,(I7*Psy!$D$13)/'Kursy średnie'!$D$7,IF(Arkusz!$P$3=3,(I7*Psy!$D$13)/'Kursy średnie'!$D$8,IF(Arkusz!$P$3=4,(I7*Psy!$D$13)/'Kursy średnie'!$D$9,IF(Arkusz!$P$3=5,(I7*Psy!$D$13),0))))))</f>
        <v>328.4487114704396</v>
      </c>
      <c r="L7" s="19">
        <v>4</v>
      </c>
      <c r="M7" s="21">
        <f>IF(G7="","-",IF($P$3=1,(L7*$J$2)/'Kursy średnie'!$D$6,IF(Arkusz!$P$3=2,(L7*$J$2)/'Kursy średnie'!$D$7,IF(Arkusz!$P$3=3,(L7*$J$2)/'Kursy średnie'!$D$8,IF(Arkusz!$P$3=4,(L7*$J$2)/'Kursy średnie'!$D$9,IF(Arkusz!$P$3=5,(L7*$J$2),0))))))</f>
        <v>4.210880916287687</v>
      </c>
      <c r="N7" s="19" t="str">
        <f>VLOOKUP(G7,Psy!$B$4:$H$10,7,FALSE)</f>
        <v>Nie</v>
      </c>
      <c r="O7" s="22">
        <f t="shared" ref="O7:O10" si="0">IF(N7="Tak",(K7+M7)-$J$3,(K7+M7))</f>
        <v>332.6595923867273</v>
      </c>
    </row>
    <row r="8" spans="2:16" x14ac:dyDescent="0.35">
      <c r="F8" s="19">
        <f>IF(G8="","",COUNTA($G$6:G8))</f>
        <v>3</v>
      </c>
      <c r="G8" s="19">
        <v>6012</v>
      </c>
      <c r="H8" s="19" t="str">
        <f>IF(G8="","-",VLOOKUP(Arkusz!G8,Psy!$B$4:$G$10,2,FALSE))</f>
        <v>Fafik</v>
      </c>
      <c r="I8" s="19">
        <f>IF(G8="","-",VLOOKUP(G8,Psy!$B$4:$G$10,6,FALSE)-VLOOKUP(Arkusz!G8,Psy!$B$4:$G$10,5,FALSE))</f>
        <v>2</v>
      </c>
      <c r="J8" s="19" t="str">
        <f>IF(G8="","-",VLOOKUP(G8,Psy!$B$4:$G$10,4,FALSE))</f>
        <v>Anna Kula</v>
      </c>
      <c r="K8" s="20">
        <f>IF(G8="","-",IF($P$3=1,(I8*Psy!$D$13)/'Kursy średnie'!$D$6,IF(Arkusz!$P$3=2,(I8*Psy!$D$13)/'Kursy średnie'!$D$7,IF(Arkusz!$P$3=3,(I8*Psy!$D$13)/'Kursy średnie'!$D$8,IF(Arkusz!$P$3=4,(I8*Psy!$D$13)/'Kursy średnie'!$D$9,IF(Arkusz!$P$3=5,(I8*Psy!$D$13),0))))))</f>
        <v>50.530570995452251</v>
      </c>
      <c r="L8" s="19">
        <v>4</v>
      </c>
      <c r="M8" s="21">
        <f>IF(G8="","-",IF($P$3=1,(L8*$J$2)/'Kursy średnie'!$D$6,IF(Arkusz!$P$3=2,(L8*$J$2)/'Kursy średnie'!$D$7,IF(Arkusz!$P$3=3,(L8*$J$2)/'Kursy średnie'!$D$8,IF(Arkusz!$P$3=4,(L8*$J$2)/'Kursy średnie'!$D$9,IF(Arkusz!$P$3=5,(L8*$J$2),0))))))</f>
        <v>4.210880916287687</v>
      </c>
      <c r="N8" s="19" t="str">
        <f>VLOOKUP(G8,Psy!$B$4:$H$10,7,FALSE)</f>
        <v>Tak</v>
      </c>
      <c r="O8" s="22">
        <f>IF(N8="Tak",(K8+M8)-$J$3,(K8+M8))</f>
        <v>54.641451911739935</v>
      </c>
    </row>
    <row r="9" spans="2:16" x14ac:dyDescent="0.35">
      <c r="F9" s="19">
        <f>IF(G9="","",COUNTA($G$6:G9))</f>
        <v>4</v>
      </c>
      <c r="G9" s="19">
        <v>6018</v>
      </c>
      <c r="H9" s="19" t="str">
        <f>IF(G9="","-",VLOOKUP(Arkusz!G9,Psy!$B$4:$G$10,2,FALSE))</f>
        <v>Goofie</v>
      </c>
      <c r="I9" s="19">
        <f>IF(G9="","-",VLOOKUP(G9,Psy!$B$4:$G$10,6,FALSE)-VLOOKUP(Arkusz!G9,Psy!$B$4:$G$10,5,FALSE))</f>
        <v>13</v>
      </c>
      <c r="J9" s="19" t="str">
        <f>IF(G9="","-",VLOOKUP(G9,Psy!$B$4:$G$10,4,FALSE))</f>
        <v>Jakub Wek</v>
      </c>
      <c r="K9" s="20">
        <f>IF(G9="","-",IF($P$3=1,(I9*Psy!$D$13)/'Kursy średnie'!$D$6,IF(Arkusz!$P$3=2,(I9*Psy!$D$13)/'Kursy średnie'!$D$7,IF(Arkusz!$P$3=3,(I9*Psy!$D$13)/'Kursy średnie'!$D$8,IF(Arkusz!$P$3=4,(I9*Psy!$D$13)/'Kursy średnie'!$D$9,IF(Arkusz!$P$3=5,(I9*Psy!$D$13),0))))))</f>
        <v>328.4487114704396</v>
      </c>
      <c r="L9" s="19"/>
      <c r="M9" s="21">
        <f>IF(G9="","-",IF($P$3=1,(L9*$J$2)/'Kursy średnie'!$D$6,IF(Arkusz!$P$3=2,(L9*$J$2)/'Kursy średnie'!$D$7,IF(Arkusz!$P$3=3,(L9*$J$2)/'Kursy średnie'!$D$8,IF(Arkusz!$P$3=4,(L9*$J$2)/'Kursy średnie'!$D$9,IF(Arkusz!$P$3=5,(L9*$J$2),0))))))</f>
        <v>0</v>
      </c>
      <c r="N9" s="19" t="str">
        <f>VLOOKUP(G9,Psy!$B$4:$H$10,7,FALSE)</f>
        <v>Nie</v>
      </c>
      <c r="O9" s="22">
        <f t="shared" si="0"/>
        <v>328.4487114704396</v>
      </c>
    </row>
    <row r="10" spans="2:16" x14ac:dyDescent="0.35">
      <c r="F10" s="19">
        <f>IF(G10="","",COUNTA($G$6:G10))</f>
        <v>5</v>
      </c>
      <c r="G10" s="19">
        <v>6014</v>
      </c>
      <c r="H10" s="19" t="str">
        <f>IF(G10="","-",VLOOKUP(Arkusz!G10,Psy!$B$4:$G$10,2,FALSE))</f>
        <v>Posypka</v>
      </c>
      <c r="I10" s="19">
        <f>IF(G10="","-",VLOOKUP(G10,Psy!$B$4:$G$10,6,FALSE)-VLOOKUP(Arkusz!G10,Psy!$B$4:$G$10,5,FALSE))</f>
        <v>11</v>
      </c>
      <c r="J10" s="19" t="str">
        <f>IF(G10="","-",VLOOKUP(G10,Psy!$B$4:$G$10,4,FALSE))</f>
        <v>Andrzej Fufa</v>
      </c>
      <c r="K10" s="20">
        <f>IF(G10="","-",IF($P$3=1,(I10*Psy!$D$13)/'Kursy średnie'!$D$6,IF(Arkusz!$P$3=2,(I10*Psy!$D$13)/'Kursy średnie'!$D$7,IF(Arkusz!$P$3=3,(I10*Psy!$D$13)/'Kursy średnie'!$D$8,IF(Arkusz!$P$3=4,(I10*Psy!$D$13)/'Kursy średnie'!$D$9,IF(Arkusz!$P$3=5,(I10*Psy!$D$13),0))))))</f>
        <v>277.91814047498735</v>
      </c>
      <c r="L10" s="19">
        <v>5</v>
      </c>
      <c r="M10" s="21">
        <f>IF(G10="","-",IF($P$3=1,(L10*$J$2)/'Kursy średnie'!$D$6,IF(Arkusz!$P$3=2,(L10*$J$2)/'Kursy średnie'!$D$7,IF(Arkusz!$P$3=3,(L10*$J$2)/'Kursy średnie'!$D$8,IF(Arkusz!$P$3=4,(L10*$J$2)/'Kursy średnie'!$D$9,IF(Arkusz!$P$3=5,(L10*$J$2),0))))))</f>
        <v>5.2636011453596092</v>
      </c>
      <c r="N10" s="19" t="str">
        <f>VLOOKUP(G10,Psy!$B$4:$H$10,7,FALSE)</f>
        <v>Nie</v>
      </c>
      <c r="O10" s="22">
        <f t="shared" si="0"/>
        <v>283.18174162034694</v>
      </c>
    </row>
    <row r="12" spans="2:16" x14ac:dyDescent="0.35">
      <c r="C12" s="4">
        <v>7</v>
      </c>
    </row>
    <row r="13" spans="2:16" x14ac:dyDescent="0.35">
      <c r="C13" s="23" t="s">
        <v>1</v>
      </c>
      <c r="D13" s="24" t="str" cm="1">
        <f t="array" ref="D13">INDEX(Psy!C4:C10,Arkusz!C12)</f>
        <v>Goofie</v>
      </c>
      <c r="H13" s="4">
        <v>2</v>
      </c>
    </row>
    <row r="14" spans="2:16" x14ac:dyDescent="0.35">
      <c r="C14" s="23" t="s">
        <v>30</v>
      </c>
      <c r="D14" s="24" t="str" cm="1">
        <f t="array" ref="D14">INDEX(Psy!D4:D10,Arkusz!C12)</f>
        <v>Chau Chau</v>
      </c>
      <c r="L14" s="4">
        <v>1</v>
      </c>
    </row>
    <row r="15" spans="2:16" ht="33" customHeight="1" x14ac:dyDescent="0.35">
      <c r="C15" s="25" t="s">
        <v>81</v>
      </c>
      <c r="D15" s="26" cm="1">
        <f t="array" ref="D15">INDEX(Psy!F4:F10,Arkusz!C12)</f>
        <v>44906</v>
      </c>
      <c r="E15" s="9"/>
      <c r="F15" s="2"/>
      <c r="H15" t="str">
        <f>IF($H$13=1,"Załóż psu kaganiec","Nie ma się o co martwić")</f>
        <v>Nie ma się o co martwić</v>
      </c>
    </row>
    <row r="16" spans="2:16" ht="32.5" customHeight="1" x14ac:dyDescent="0.35">
      <c r="C16" s="25" t="s">
        <v>82</v>
      </c>
      <c r="D16" s="26" cm="1">
        <f t="array" ref="D16">INDEX(Psy!G4:G10,Arkusz!C12)</f>
        <v>44919</v>
      </c>
      <c r="E16" s="9"/>
      <c r="F16" s="2"/>
      <c r="M16" t="str">
        <f>IF(L14=1,"Proszę podejść do recepcji",IF(L14=2,"Numer konta to : 2663478176541871",IF(L14=3,"Pieniądze proszę wysłać na numer : 123-123-123","-")))</f>
        <v>Proszę podejść do recepcji</v>
      </c>
    </row>
    <row r="17" spans="3:10" ht="32.5" customHeight="1" x14ac:dyDescent="0.35">
      <c r="C17" s="27" t="s">
        <v>108</v>
      </c>
      <c r="D17" s="26" t="str" cm="1">
        <f t="array" ref="D17">INDEX(Właściciel!C5:C11&amp;" "&amp;Właściciel!D5:D11,Arkusz!C12)</f>
        <v>Jakub Wek</v>
      </c>
      <c r="E17" s="9"/>
    </row>
    <row r="18" spans="3:10" ht="32.5" customHeight="1" x14ac:dyDescent="0.35">
      <c r="C18" s="25" t="s">
        <v>109</v>
      </c>
      <c r="D18" s="28" t="str" cm="1">
        <f t="array" ref="D18">INDEX(Właściciel!E5:E11&amp;"        "&amp;Właściciel!F5:F11,Arkusz!C12)</f>
        <v>Rybnik        54-233</v>
      </c>
      <c r="E18" s="9"/>
    </row>
    <row r="20" spans="3:10" ht="35.5" customHeight="1" x14ac:dyDescent="0.35">
      <c r="E20" s="1" t="s">
        <v>107</v>
      </c>
    </row>
    <row r="21" spans="3:10" x14ac:dyDescent="0.35">
      <c r="C21" s="14" t="s">
        <v>94</v>
      </c>
      <c r="D21" s="14"/>
      <c r="E21" s="14" t="s">
        <v>20</v>
      </c>
      <c r="F21" s="14" t="s">
        <v>96</v>
      </c>
      <c r="G21" s="14" t="s">
        <v>95</v>
      </c>
      <c r="H21" s="14"/>
      <c r="I21" s="14" t="str">
        <f>VLOOKUP(E21,Właściciel!B5:J11,6,FALSE)</f>
        <v>824-090-467</v>
      </c>
      <c r="J21" s="14"/>
    </row>
  </sheetData>
  <conditionalFormatting sqref="M6:M10">
    <cfRule type="expression" dxfId="16" priority="17">
      <formula>$P$3=5</formula>
    </cfRule>
    <cfRule type="expression" dxfId="15" priority="18">
      <formula>$P$3=4</formula>
    </cfRule>
    <cfRule type="expression" dxfId="14" priority="19">
      <formula>$P$3=3</formula>
    </cfRule>
    <cfRule type="expression" dxfId="13" priority="20">
      <formula>$P$3=2</formula>
    </cfRule>
    <cfRule type="expression" dxfId="12" priority="21">
      <formula>$P$3=1</formula>
    </cfRule>
  </conditionalFormatting>
  <conditionalFormatting sqref="K6:K10">
    <cfRule type="expression" dxfId="11" priority="23">
      <formula>$P$3=5</formula>
    </cfRule>
    <cfRule type="expression" dxfId="10" priority="24">
      <formula>$P$3=4</formula>
    </cfRule>
    <cfRule type="expression" dxfId="9" priority="25">
      <formula>$P$3=3</formula>
    </cfRule>
    <cfRule type="expression" dxfId="8" priority="26">
      <formula>$P$3=2</formula>
    </cfRule>
    <cfRule type="expression" dxfId="7" priority="27">
      <formula>$P$3=1</formula>
    </cfRule>
  </conditionalFormatting>
  <conditionalFormatting sqref="O6:O10">
    <cfRule type="expression" dxfId="6" priority="1">
      <formula>$P$3=5</formula>
    </cfRule>
    <cfRule type="expression" dxfId="5" priority="2">
      <formula>$P$3=4</formula>
    </cfRule>
    <cfRule type="expression" dxfId="4" priority="3">
      <formula>$P$3=3</formula>
    </cfRule>
    <cfRule type="expression" dxfId="3" priority="4">
      <formula>$P$3=2</formula>
    </cfRule>
    <cfRule type="expression" dxfId="2" priority="5">
      <formula>$P$3=1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1" r:id="rId4" name="Spinner 7">
              <controlPr defaultSize="0" autoPict="0">
                <anchor moveWithCells="1" sizeWithCells="1">
                  <from>
                    <xdr:col>11</xdr:col>
                    <xdr:colOff>273050</xdr:colOff>
                    <xdr:row>5</xdr:row>
                    <xdr:rowOff>6350</xdr:rowOff>
                  </from>
                  <to>
                    <xdr:col>11</xdr:col>
                    <xdr:colOff>476250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5" name="Spinner 8">
              <controlPr defaultSize="0" autoPict="0">
                <anchor moveWithCells="1" sizeWithCells="1">
                  <from>
                    <xdr:col>11</xdr:col>
                    <xdr:colOff>266700</xdr:colOff>
                    <xdr:row>6</xdr:row>
                    <xdr:rowOff>19050</xdr:rowOff>
                  </from>
                  <to>
                    <xdr:col>11</xdr:col>
                    <xdr:colOff>476250</xdr:colOff>
                    <xdr:row>6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6" name="Spinner 9">
              <controlPr defaultSize="0" autoPict="0">
                <anchor moveWithCells="1" sizeWithCells="1">
                  <from>
                    <xdr:col>11</xdr:col>
                    <xdr:colOff>285750</xdr:colOff>
                    <xdr:row>7</xdr:row>
                    <xdr:rowOff>6350</xdr:rowOff>
                  </from>
                  <to>
                    <xdr:col>11</xdr:col>
                    <xdr:colOff>482600</xdr:colOff>
                    <xdr:row>8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7" name="Spinner 10">
              <controlPr defaultSize="0" autoPict="0">
                <anchor moveWithCells="1" sizeWithCells="1">
                  <from>
                    <xdr:col>11</xdr:col>
                    <xdr:colOff>247650</xdr:colOff>
                    <xdr:row>8</xdr:row>
                    <xdr:rowOff>19050</xdr:rowOff>
                  </from>
                  <to>
                    <xdr:col>11</xdr:col>
                    <xdr:colOff>488950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8" name="Spinner 11">
              <controlPr defaultSize="0" autoPict="0">
                <anchor moveWithCells="1" sizeWithCells="1">
                  <from>
                    <xdr:col>11</xdr:col>
                    <xdr:colOff>254000</xdr:colOff>
                    <xdr:row>9</xdr:row>
                    <xdr:rowOff>0</xdr:rowOff>
                  </from>
                  <to>
                    <xdr:col>11</xdr:col>
                    <xdr:colOff>495300</xdr:colOff>
                    <xdr:row>9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9" name="List Box 13">
              <controlPr defaultSize="0" autoLine="0" autoPict="0">
                <anchor moveWithCells="1">
                  <from>
                    <xdr:col>2</xdr:col>
                    <xdr:colOff>6350</xdr:colOff>
                    <xdr:row>7</xdr:row>
                    <xdr:rowOff>25400</xdr:rowOff>
                  </from>
                  <to>
                    <xdr:col>2</xdr:col>
                    <xdr:colOff>914400</xdr:colOff>
                    <xdr:row>10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10" name="Drop Down 25">
              <controlPr defaultSize="0" autoLine="0" autoPict="0">
                <anchor moveWithCells="1">
                  <from>
                    <xdr:col>14</xdr:col>
                    <xdr:colOff>12700</xdr:colOff>
                    <xdr:row>1</xdr:row>
                    <xdr:rowOff>152400</xdr:rowOff>
                  </from>
                  <to>
                    <xdr:col>14</xdr:col>
                    <xdr:colOff>635000</xdr:colOff>
                    <xdr:row>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7" r:id="rId11" name="Group Box 33">
              <controlPr defaultSize="0" autoFill="0" autoPict="0">
                <anchor moveWithCells="1">
                  <from>
                    <xdr:col>4</xdr:col>
                    <xdr:colOff>1035050</xdr:colOff>
                    <xdr:row>12</xdr:row>
                    <xdr:rowOff>31750</xdr:rowOff>
                  </from>
                  <to>
                    <xdr:col>6</xdr:col>
                    <xdr:colOff>844550</xdr:colOff>
                    <xdr:row>16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12" name="Option Button 35">
              <controlPr defaultSize="0" autoFill="0" autoLine="0" autoPict="0">
                <anchor moveWithCells="1">
                  <from>
                    <xdr:col>5</xdr:col>
                    <xdr:colOff>393700</xdr:colOff>
                    <xdr:row>13</xdr:row>
                    <xdr:rowOff>165100</xdr:rowOff>
                  </from>
                  <to>
                    <xdr:col>6</xdr:col>
                    <xdr:colOff>330200</xdr:colOff>
                    <xdr:row>14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13" name="Option Button 36">
              <controlPr defaultSize="0" autoFill="0" autoLine="0" autoPict="0">
                <anchor moveWithCells="1">
                  <from>
                    <xdr:col>5</xdr:col>
                    <xdr:colOff>406400</xdr:colOff>
                    <xdr:row>14</xdr:row>
                    <xdr:rowOff>349250</xdr:rowOff>
                  </from>
                  <to>
                    <xdr:col>6</xdr:col>
                    <xdr:colOff>425450</xdr:colOff>
                    <xdr:row>15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4" r:id="rId14" name="Group Box 40">
              <controlPr defaultSize="0" autoFill="0" autoPict="0">
                <anchor moveWithCells="1">
                  <from>
                    <xdr:col>9</xdr:col>
                    <xdr:colOff>793750</xdr:colOff>
                    <xdr:row>12</xdr:row>
                    <xdr:rowOff>12700</xdr:rowOff>
                  </from>
                  <to>
                    <xdr:col>11</xdr:col>
                    <xdr:colOff>692150</xdr:colOff>
                    <xdr:row>16</xdr:row>
                    <xdr:rowOff>336550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5" r:id="rId15" name="Option Button 41">
              <controlPr defaultSize="0" autoFill="0" autoLine="0" autoPict="0">
                <anchor moveWithCells="1">
                  <from>
                    <xdr:col>10</xdr:col>
                    <xdr:colOff>241300</xdr:colOff>
                    <xdr:row>13</xdr:row>
                    <xdr:rowOff>101600</xdr:rowOff>
                  </from>
                  <to>
                    <xdr:col>11</xdr:col>
                    <xdr:colOff>222250</xdr:colOff>
                    <xdr:row>14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6" r:id="rId16" name="Option Button 42">
              <controlPr defaultSize="0" autoFill="0" autoLine="0" autoPict="0">
                <anchor moveWithCells="1">
                  <from>
                    <xdr:col>10</xdr:col>
                    <xdr:colOff>241300</xdr:colOff>
                    <xdr:row>14</xdr:row>
                    <xdr:rowOff>285750</xdr:rowOff>
                  </from>
                  <to>
                    <xdr:col>11</xdr:col>
                    <xdr:colOff>374650</xdr:colOff>
                    <xdr:row>15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7" r:id="rId17" name="Option Button 43">
              <controlPr defaultSize="0" autoFill="0" autoLine="0" autoPict="0">
                <anchor moveWithCells="1">
                  <from>
                    <xdr:col>10</xdr:col>
                    <xdr:colOff>247650</xdr:colOff>
                    <xdr:row>15</xdr:row>
                    <xdr:rowOff>241300</xdr:rowOff>
                  </from>
                  <to>
                    <xdr:col>11</xdr:col>
                    <xdr:colOff>254000</xdr:colOff>
                    <xdr:row>16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6" r:id="rId18" name="Button 52">
              <controlPr defaultSize="0" print="0" autoFill="0" autoPict="0" macro="[0]!Makro1">
                <anchor moveWithCells="1" sizeWithCells="1">
                  <from>
                    <xdr:col>4</xdr:col>
                    <xdr:colOff>266700</xdr:colOff>
                    <xdr:row>25</xdr:row>
                    <xdr:rowOff>114300</xdr:rowOff>
                  </from>
                  <to>
                    <xdr:col>6</xdr:col>
                    <xdr:colOff>552450</xdr:colOff>
                    <xdr:row>28</xdr:row>
                    <xdr:rowOff>63500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2" id="{0D061D7D-7B51-46F2-8357-DD58E218E814}">
            <xm:f>IF($M$6:$M$10,"1 EUR",$M$6:$M$10/'Kursy średnie'!$D$7)</xm:f>
            <x14:dxf>
              <numFmt numFmtId="169" formatCode="#,##0.00\ [$€-1]"/>
            </x14:dxf>
          </x14:cfRule>
          <xm:sqref>M6:M10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C1570C80-7002-4D0C-B8E9-26346FBAFB05}">
          <x14:formula1>
            <xm:f>Psy!$B$4:$B$10</xm:f>
          </x14:formula1>
          <xm:sqref>G6:G10</xm:sqref>
        </x14:dataValidation>
        <x14:dataValidation type="list" allowBlank="1" showInputMessage="1" showErrorMessage="1" xr:uid="{A3281816-D05D-4DFF-8875-114A8171298B}">
          <x14:formula1>
            <xm:f>Psy!$C$4:$C$10</xm:f>
          </x14:formula1>
          <xm:sqref>E21</xm:sqref>
        </x14:dataValidation>
        <x14:dataValidation type="list" allowBlank="1" showInputMessage="1" showErrorMessage="1" xr:uid="{7F6ED859-4AF5-46CF-A403-9537CCEBE316}">
          <x14:formula1>
            <xm:f>'Kursy średnie'!$C$6:$C$10</xm:f>
          </x14:formula1>
          <xm:sqref>AE9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EC9EC1-8326-431D-B37E-439248E2D0B5}">
  <sheetPr codeName="Arkusz3"/>
  <dimension ref="B2:J11"/>
  <sheetViews>
    <sheetView workbookViewId="0">
      <selection activeCell="B12" sqref="B12"/>
    </sheetView>
  </sheetViews>
  <sheetFormatPr defaultRowHeight="14.5" x14ac:dyDescent="0.35"/>
  <cols>
    <col min="4" max="4" width="8.6328125" bestFit="1" customWidth="1"/>
    <col min="6" max="6" width="9.6328125" customWidth="1"/>
    <col min="7" max="7" width="11.08984375" bestFit="1" customWidth="1"/>
    <col min="8" max="8" width="11.90625" bestFit="1" customWidth="1"/>
    <col min="10" max="10" width="13.54296875" bestFit="1" customWidth="1"/>
  </cols>
  <sheetData>
    <row r="2" spans="2:10" x14ac:dyDescent="0.35">
      <c r="B2" s="5" t="s">
        <v>29</v>
      </c>
    </row>
    <row r="4" spans="2:10" ht="29" x14ac:dyDescent="0.35">
      <c r="B4" s="8" t="s">
        <v>3</v>
      </c>
      <c r="C4" s="7" t="s">
        <v>31</v>
      </c>
      <c r="D4" s="7" t="s">
        <v>32</v>
      </c>
      <c r="E4" s="7" t="s">
        <v>33</v>
      </c>
      <c r="F4" s="8" t="s">
        <v>34</v>
      </c>
      <c r="G4" s="8" t="s">
        <v>35</v>
      </c>
      <c r="H4" s="7" t="s">
        <v>36</v>
      </c>
      <c r="I4" s="8" t="s">
        <v>37</v>
      </c>
      <c r="J4" s="8" t="s">
        <v>38</v>
      </c>
    </row>
    <row r="5" spans="2:10" x14ac:dyDescent="0.35">
      <c r="B5" t="s">
        <v>8</v>
      </c>
      <c r="C5" t="s">
        <v>39</v>
      </c>
      <c r="D5" t="s">
        <v>47</v>
      </c>
      <c r="E5" t="s">
        <v>61</v>
      </c>
      <c r="F5" t="s">
        <v>74</v>
      </c>
      <c r="G5" t="s">
        <v>54</v>
      </c>
      <c r="H5" t="s">
        <v>75</v>
      </c>
      <c r="I5">
        <v>354783</v>
      </c>
      <c r="J5" t="str">
        <f>C5&amp;" "&amp;D5</f>
        <v xml:space="preserve">Anna Kula </v>
      </c>
    </row>
    <row r="6" spans="2:10" x14ac:dyDescent="0.35">
      <c r="B6" t="s">
        <v>9</v>
      </c>
      <c r="C6" t="s">
        <v>40</v>
      </c>
      <c r="D6" t="s">
        <v>48</v>
      </c>
      <c r="E6" t="s">
        <v>62</v>
      </c>
      <c r="F6" t="s">
        <v>73</v>
      </c>
      <c r="G6" t="s">
        <v>55</v>
      </c>
      <c r="H6" t="s">
        <v>76</v>
      </c>
      <c r="I6">
        <v>458808</v>
      </c>
      <c r="J6" t="str">
        <f t="shared" ref="J6:J11" si="0">C6&amp;" "&amp;D6</f>
        <v>Jan Groch</v>
      </c>
    </row>
    <row r="7" spans="2:10" x14ac:dyDescent="0.35">
      <c r="B7" t="s">
        <v>10</v>
      </c>
      <c r="C7" t="s">
        <v>41</v>
      </c>
      <c r="D7" t="s">
        <v>49</v>
      </c>
      <c r="E7" t="s">
        <v>63</v>
      </c>
      <c r="F7" t="s">
        <v>72</v>
      </c>
      <c r="G7" t="s">
        <v>56</v>
      </c>
      <c r="H7" t="s">
        <v>77</v>
      </c>
      <c r="I7">
        <v>187897</v>
      </c>
      <c r="J7" t="str">
        <f t="shared" si="0"/>
        <v>Andrzej Fufa</v>
      </c>
    </row>
    <row r="8" spans="2:10" x14ac:dyDescent="0.35">
      <c r="B8" t="s">
        <v>11</v>
      </c>
      <c r="C8" t="s">
        <v>43</v>
      </c>
      <c r="D8" t="s">
        <v>50</v>
      </c>
      <c r="E8" t="s">
        <v>64</v>
      </c>
      <c r="F8" t="s">
        <v>71</v>
      </c>
      <c r="G8" t="s">
        <v>57</v>
      </c>
      <c r="H8" t="s">
        <v>78</v>
      </c>
      <c r="I8">
        <v>366819</v>
      </c>
      <c r="J8" t="str">
        <f t="shared" si="0"/>
        <v>Hanna Sandacz</v>
      </c>
    </row>
    <row r="9" spans="2:10" x14ac:dyDescent="0.35">
      <c r="B9" t="s">
        <v>20</v>
      </c>
      <c r="C9" t="s">
        <v>44</v>
      </c>
      <c r="D9" t="s">
        <v>51</v>
      </c>
      <c r="E9" t="s">
        <v>65</v>
      </c>
      <c r="F9" t="s">
        <v>70</v>
      </c>
      <c r="G9" t="s">
        <v>58</v>
      </c>
      <c r="H9" t="s">
        <v>79</v>
      </c>
      <c r="I9">
        <v>128499</v>
      </c>
      <c r="J9" t="str">
        <f t="shared" si="0"/>
        <v>krzysztof  Hufa</v>
      </c>
    </row>
    <row r="10" spans="2:10" x14ac:dyDescent="0.35">
      <c r="B10" t="s">
        <v>21</v>
      </c>
      <c r="C10" t="s">
        <v>45</v>
      </c>
      <c r="D10" t="s">
        <v>52</v>
      </c>
      <c r="E10" t="s">
        <v>66</v>
      </c>
      <c r="F10" t="s">
        <v>69</v>
      </c>
      <c r="G10" t="s">
        <v>59</v>
      </c>
      <c r="H10" t="s">
        <v>80</v>
      </c>
      <c r="I10">
        <v>459002</v>
      </c>
      <c r="J10" t="str">
        <f t="shared" si="0"/>
        <v>Karolina Pąk</v>
      </c>
    </row>
    <row r="11" spans="2:10" x14ac:dyDescent="0.35">
      <c r="B11" t="s">
        <v>22</v>
      </c>
      <c r="C11" t="s">
        <v>46</v>
      </c>
      <c r="D11" t="s">
        <v>53</v>
      </c>
      <c r="E11" t="s">
        <v>67</v>
      </c>
      <c r="F11" t="s">
        <v>68</v>
      </c>
      <c r="G11" t="s">
        <v>60</v>
      </c>
      <c r="H11" t="s">
        <v>75</v>
      </c>
      <c r="I11">
        <v>163491</v>
      </c>
      <c r="J11" t="str">
        <f t="shared" si="0"/>
        <v>Jakub Wek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A694D4-9D60-467B-B899-583C1B22D837}">
  <sheetPr codeName="Arkusz4"/>
  <dimension ref="C5:D10"/>
  <sheetViews>
    <sheetView workbookViewId="0">
      <selection activeCell="B19" sqref="B19"/>
    </sheetView>
  </sheetViews>
  <sheetFormatPr defaultRowHeight="14.5" x14ac:dyDescent="0.35"/>
  <cols>
    <col min="1" max="2" width="10.54296875" bestFit="1" customWidth="1"/>
    <col min="3" max="3" width="13.7265625" customWidth="1"/>
    <col min="4" max="4" width="16.08984375" customWidth="1"/>
  </cols>
  <sheetData>
    <row r="5" spans="3:4" x14ac:dyDescent="0.35">
      <c r="C5" t="s">
        <v>101</v>
      </c>
      <c r="D5" t="s">
        <v>102</v>
      </c>
    </row>
    <row r="6" spans="3:4" x14ac:dyDescent="0.35">
      <c r="C6" t="s">
        <v>97</v>
      </c>
      <c r="D6">
        <v>4.476</v>
      </c>
    </row>
    <row r="7" spans="3:4" x14ac:dyDescent="0.35">
      <c r="C7" t="s">
        <v>98</v>
      </c>
      <c r="D7">
        <v>4.6976000000000004</v>
      </c>
    </row>
    <row r="8" spans="3:4" x14ac:dyDescent="0.35">
      <c r="C8" t="s">
        <v>99</v>
      </c>
      <c r="D8">
        <v>4.7496</v>
      </c>
    </row>
    <row r="9" spans="3:4" x14ac:dyDescent="0.35">
      <c r="C9" t="s">
        <v>100</v>
      </c>
      <c r="D9">
        <v>5.4484000000000004</v>
      </c>
    </row>
    <row r="10" spans="3:4" x14ac:dyDescent="0.35">
      <c r="C10" t="s">
        <v>104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C93221BC-AB25-4B47-81CC-1B26D751E75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4</vt:i4>
      </vt:variant>
    </vt:vector>
  </HeadingPairs>
  <TitlesOfParts>
    <vt:vector size="4" baseType="lpstr">
      <vt:lpstr>Psy</vt:lpstr>
      <vt:lpstr>Arkusz</vt:lpstr>
      <vt:lpstr>Właściciel</vt:lpstr>
      <vt:lpstr>Kursy średnie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Aleksandra Pstrong</dc:creator>
  <cp:lastModifiedBy>Aleksandra Pstrong</cp:lastModifiedBy>
  <cp:lastPrinted>2022-12-11T13:39:04Z</cp:lastPrinted>
  <dcterms:created xsi:type="dcterms:W3CDTF">2022-11-30T17:48:44Z</dcterms:created>
  <dcterms:modified xsi:type="dcterms:W3CDTF">2022-12-11T13:42:31Z</dcterms:modified>
</cp:coreProperties>
</file>