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AE6600E7-7A62-396C-DE95-9942FA9DD81E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16fab1a2c283e05/Pulpit/Ola/"/>
    </mc:Choice>
  </mc:AlternateContent>
  <xr:revisionPtr revIDLastSave="2" documentId="8_{5011D570-E20A-490D-9D4C-972AE3982974}" xr6:coauthVersionLast="47" xr6:coauthVersionMax="47" xr10:uidLastSave="{F1DED699-1C20-4130-96E0-8AD1738FF54D}"/>
  <bookViews>
    <workbookView minimized="1" xWindow="4530" yWindow="620" windowWidth="15010" windowHeight="9800" xr2:uid="{00000000-000D-0000-FFFF-FFFF00000000}"/>
  </bookViews>
  <sheets>
    <sheet name="zamówienie" sheetId="6" r:id="rId1"/>
    <sheet name="kursy" sheetId="7" r:id="rId2"/>
    <sheet name="Magazyn" sheetId="5" r:id="rId3"/>
    <sheet name="Katalog" sheetId="2" r:id="rId4"/>
    <sheet name="klienci" sheetId="3" r:id="rId5"/>
    <sheet name="pracownicy" sheetId="4" r:id="rId6"/>
    <sheet name="Formularz " sheetId="1" state="hidden" r:id="rId7"/>
  </sheets>
  <definedNames>
    <definedName name="ceny">Katalog!$C$2:$C$7</definedName>
    <definedName name="Nazwy">Katalog!$B$2:$B$7</definedName>
    <definedName name="symbole">Katalog!$A$2:$A$7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6" l="1"/>
  <c r="G11" i="6" s="1"/>
  <c r="I3" i="3"/>
  <c r="I4" i="3"/>
  <c r="I5" i="3"/>
  <c r="I6" i="3"/>
  <c r="I2" i="3"/>
  <c r="B24" i="6" a="1"/>
  <c r="B24" i="6" s="1"/>
  <c r="C5" i="6" a="1"/>
  <c r="C5" i="6" s="1"/>
  <c r="C3" i="6" a="1"/>
  <c r="C3" i="6" s="1"/>
  <c r="C4" i="6" a="1"/>
  <c r="C4" i="6" s="1"/>
  <c r="C2" i="6" a="1"/>
  <c r="C2" i="6" s="1"/>
  <c r="C1" i="6" a="1"/>
  <c r="C1" i="6" s="1"/>
  <c r="J2" i="3"/>
  <c r="J3" i="3"/>
  <c r="J4" i="3"/>
  <c r="J5" i="3"/>
  <c r="J6" i="3"/>
  <c r="J1" i="3"/>
  <c r="L6" i="6" a="1"/>
  <c r="L6" i="6" s="1"/>
  <c r="L5" i="6" a="1"/>
  <c r="L5" i="6" s="1"/>
  <c r="B16" i="6"/>
  <c r="D15" i="6"/>
  <c r="D16" i="6"/>
  <c r="E15" i="6"/>
  <c r="E16" i="6"/>
  <c r="E14" i="6"/>
  <c r="G14" i="6" s="1"/>
  <c r="B12" i="6"/>
  <c r="B13" i="6"/>
  <c r="B14" i="6"/>
  <c r="B15" i="6"/>
  <c r="B11" i="6"/>
  <c r="G15" i="6"/>
  <c r="G16" i="6"/>
  <c r="E12" i="6"/>
  <c r="G12" i="6" s="1"/>
  <c r="E13" i="6"/>
  <c r="G13" i="6" s="1"/>
  <c r="D3" i="2"/>
  <c r="D12" i="6" s="1"/>
  <c r="D4" i="2"/>
  <c r="D11" i="6" s="1"/>
  <c r="D5" i="2"/>
  <c r="D14" i="6" s="1"/>
  <c r="D6" i="2"/>
  <c r="D2" i="2"/>
  <c r="G1" i="6"/>
  <c r="G2" i="6" s="1"/>
  <c r="B23" i="1"/>
  <c r="D13" i="6" l="1"/>
  <c r="M17" i="6"/>
  <c r="M19" i="6" s="1"/>
  <c r="O4" i="6" a="1"/>
  <c r="O4" i="6" s="1"/>
  <c r="G17" i="6"/>
  <c r="G18" i="6" l="1"/>
  <c r="G19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25EE8B-12FC-E746-8A70-6C3B6A350B8D}" keepAlive="1" name="Zapytanie — Arkusz1" description="Połączenie z zapytaniem „Arkusz1” w skoroszycie." type="5" refreshedVersion="8" background="1" saveData="1">
    <dbPr connection="Provider=Microsoft.Mashup.OleDb.1;Data Source=$Workbook$;Location=Arkusz1;Extended Properties=&quot;&quot;" command="SELECT * FROM [Arkusz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<sst xmlns="http://schemas.openxmlformats.org/spreadsheetml/2006/main" count="298" uniqueCount="109">
  <si>
    <t>FORMULARZ ZAMÓWIENIA</t>
  </si>
  <si>
    <t>NR KATALOGOWY</t>
  </si>
  <si>
    <t>NAZWA ARTYKUŁU</t>
  </si>
  <si>
    <t>CENA</t>
  </si>
  <si>
    <t>ILOŚĆ</t>
  </si>
  <si>
    <t>WARTOŚĆ</t>
  </si>
  <si>
    <t>OGÓŁEM</t>
  </si>
  <si>
    <t>IMIĘ</t>
  </si>
  <si>
    <t>NAZWISKO</t>
  </si>
  <si>
    <t>Symbol</t>
  </si>
  <si>
    <t>KOD</t>
  </si>
  <si>
    <t>Cena</t>
  </si>
  <si>
    <t>MIASTO</t>
  </si>
  <si>
    <t>ULICA</t>
  </si>
  <si>
    <t>Nazwa</t>
  </si>
  <si>
    <t>A0045</t>
  </si>
  <si>
    <t>EKSPRES DO KAWY</t>
  </si>
  <si>
    <t>A0067</t>
  </si>
  <si>
    <t>KRAJALNICA</t>
  </si>
  <si>
    <t>A0085</t>
  </si>
  <si>
    <t>ODKURZACZ</t>
  </si>
  <si>
    <t>B9087</t>
  </si>
  <si>
    <t>CZAJNIK</t>
  </si>
  <si>
    <t>C0022</t>
  </si>
  <si>
    <t>ŻELAZKO</t>
  </si>
  <si>
    <t>Imię</t>
  </si>
  <si>
    <t>Nazwisko</t>
  </si>
  <si>
    <t>Kod</t>
  </si>
  <si>
    <t>Miasto</t>
  </si>
  <si>
    <t>Ulica</t>
  </si>
  <si>
    <t>BANK</t>
  </si>
  <si>
    <t>KONTO</t>
  </si>
  <si>
    <t>Jan</t>
  </si>
  <si>
    <t>Nowak</t>
  </si>
  <si>
    <t>80-299</t>
  </si>
  <si>
    <t>Gdańsk</t>
  </si>
  <si>
    <t>Pawia 4</t>
  </si>
  <si>
    <t>PBK</t>
  </si>
  <si>
    <t>Henryk</t>
  </si>
  <si>
    <t>Kowalski</t>
  </si>
  <si>
    <t>80-158</t>
  </si>
  <si>
    <t>Sopot</t>
  </si>
  <si>
    <t>Niepodległości 101</t>
  </si>
  <si>
    <t>PKO S.A.</t>
  </si>
  <si>
    <t>Piotr</t>
  </si>
  <si>
    <t>Wilczyński</t>
  </si>
  <si>
    <t>82-002</t>
  </si>
  <si>
    <t>Wajdeloty</t>
  </si>
  <si>
    <t>MILENIUM</t>
  </si>
  <si>
    <t>Paweł</t>
  </si>
  <si>
    <t>Mrowiński</t>
  </si>
  <si>
    <t>81-555</t>
  </si>
  <si>
    <t>Gdynia</t>
  </si>
  <si>
    <t>Prusa 6</t>
  </si>
  <si>
    <t>PKO B.P.</t>
  </si>
  <si>
    <t>Aleksander</t>
  </si>
  <si>
    <t>Sępiński</t>
  </si>
  <si>
    <t>80-522</t>
  </si>
  <si>
    <t>Polna 78</t>
  </si>
  <si>
    <t>LUKAS</t>
  </si>
  <si>
    <t>Data wystawienia</t>
  </si>
  <si>
    <t>Termin płatności</t>
  </si>
  <si>
    <t>Z Rabatem</t>
  </si>
  <si>
    <t>Pan Jan Kowalski</t>
  </si>
  <si>
    <t>Pan Tadeusz Nowak</t>
  </si>
  <si>
    <t>Pani Beata Tryla</t>
  </si>
  <si>
    <t>Pani Danuta Baszta</t>
  </si>
  <si>
    <t>Tytuł</t>
  </si>
  <si>
    <t>Pan Rafał Gazda</t>
  </si>
  <si>
    <t>ares e-mail</t>
  </si>
  <si>
    <t>Produkt</t>
  </si>
  <si>
    <t>Kolor</t>
  </si>
  <si>
    <t>srebrny</t>
  </si>
  <si>
    <t>czarny</t>
  </si>
  <si>
    <t>biały</t>
  </si>
  <si>
    <t>bordowy</t>
  </si>
  <si>
    <t>fiolet</t>
  </si>
  <si>
    <t>niebieski</t>
  </si>
  <si>
    <t>szklany</t>
  </si>
  <si>
    <t>zielony</t>
  </si>
  <si>
    <t>Stany magazynowe na dzień</t>
  </si>
  <si>
    <t>Magazyn Sopot</t>
  </si>
  <si>
    <t>BP</t>
  </si>
  <si>
    <t>Magazyn Gdańsk</t>
  </si>
  <si>
    <t>Magazyn Gdynia</t>
  </si>
  <si>
    <t>Płeć</t>
  </si>
  <si>
    <t>Data pozyskania</t>
  </si>
  <si>
    <t>Status klienta</t>
  </si>
  <si>
    <t>PESEL</t>
  </si>
  <si>
    <t>data zamówienia</t>
  </si>
  <si>
    <t>data zapłaty</t>
  </si>
  <si>
    <t>Zamówienie nr XX</t>
  </si>
  <si>
    <t>Lp</t>
  </si>
  <si>
    <t>Nr katalogowy</t>
  </si>
  <si>
    <t xml:space="preserve">Nazwa produktu </t>
  </si>
  <si>
    <t>Ilość</t>
  </si>
  <si>
    <t>Wartość</t>
  </si>
  <si>
    <t>nazwa</t>
  </si>
  <si>
    <t>ogółem</t>
  </si>
  <si>
    <t>symbol</t>
  </si>
  <si>
    <t>1 pole</t>
  </si>
  <si>
    <t>2 pola</t>
  </si>
  <si>
    <t>rabat</t>
  </si>
  <si>
    <t>do zapłaty</t>
  </si>
  <si>
    <t>cena w eu</t>
  </si>
  <si>
    <t>cena w dolarach</t>
  </si>
  <si>
    <t>PLN</t>
  </si>
  <si>
    <t>EURO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</si>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</sst>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zł&quot;_-;\-* #,##0.00\ &quot;zł&quot;_-;_-* &quot;-&quot;??\ &quot;zł&quot;_-;_-@_-"/>
    <numFmt numFmtId="164" formatCode="_ * #,##0.00_)\ &quot;zł&quot;_ ;_ * \(#,##0.00\)\ &quot;zł&quot;_ ;_ * &quot;-&quot;??_)\ &quot;zł&quot;_ ;_ @_ "/>
    <numFmt numFmtId="165" formatCode="dddd\,\ dd/mm/yyyy"/>
    <numFmt numFmtId="166" formatCode="_-* #,##0.00\ [$zł-415]_-;\-* #,##0.00\ [$zł-415]_-;_-* &quot;-&quot;??\ [$zł-415]_-;_-@_-"/>
  </numFmts>
  <fonts count="13" x14ac:knownFonts="1">
    <font>
      <sz val="10"/>
      <name val="Arial CE"/>
      <charset val="238"/>
    </font>
    <font>
      <sz val="10"/>
      <name val="Arial CE"/>
      <charset val="238"/>
    </font>
    <font>
      <b/>
      <sz val="10"/>
      <name val="Arial CE"/>
      <family val="2"/>
      <charset val="238"/>
    </font>
    <font>
      <sz val="10"/>
      <color indexed="10"/>
      <name val="Arial CE"/>
      <family val="2"/>
      <charset val="238"/>
    </font>
    <font>
      <b/>
      <sz val="10"/>
      <name val="Arial CE"/>
      <charset val="238"/>
    </font>
    <font>
      <sz val="10"/>
      <color indexed="18"/>
      <name val="Arial CE"/>
      <charset val="238"/>
    </font>
    <font>
      <sz val="10"/>
      <name val="Arial CE"/>
      <charset val="238"/>
    </font>
    <font>
      <b/>
      <sz val="10"/>
      <color theme="4"/>
      <name val="Arial CE"/>
      <family val="2"/>
      <charset val="238"/>
    </font>
    <font>
      <sz val="10"/>
      <name val="Arial"/>
      <family val="2"/>
      <charset val="238"/>
    </font>
    <font>
      <sz val="8"/>
      <name val="Arial CE"/>
      <charset val="238"/>
    </font>
    <font>
      <b/>
      <sz val="11"/>
      <color rgb="FF333333"/>
      <name val="Arial"/>
      <family val="2"/>
    </font>
    <font>
      <sz val="12"/>
      <color rgb="FF000000"/>
      <name val="Calibri"/>
      <family val="2"/>
      <charset val="238"/>
    </font>
    <font>
      <sz val="10"/>
      <color rgb="FF000000"/>
      <name val="Arial CE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8" fillId="0" borderId="0"/>
    <xf numFmtId="9" fontId="1" fillId="0" borderId="0" applyFont="0" applyFill="0" applyBorder="0" applyAlignment="0" applyProtection="0"/>
  </cellStyleXfs>
  <cellXfs count="57">
    <xf numFmtId="0" fontId="0" fillId="0" borderId="0" xfId="0"/>
    <xf numFmtId="44" fontId="1" fillId="0" borderId="0" xfId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0" fillId="3" borderId="0" xfId="0" applyFill="1"/>
    <xf numFmtId="0" fontId="7" fillId="3" borderId="1" xfId="0" applyFont="1" applyFill="1" applyBorder="1"/>
    <xf numFmtId="0" fontId="7" fillId="3" borderId="2" xfId="0" applyFont="1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4" xfId="0" applyFill="1" applyBorder="1" applyProtection="1">
      <protection locked="0"/>
    </xf>
    <xf numFmtId="0" fontId="1" fillId="3" borderId="5" xfId="1" applyNumberFormat="1" applyFill="1" applyBorder="1"/>
    <xf numFmtId="0" fontId="0" fillId="2" borderId="0" xfId="0" applyFill="1" applyProtection="1">
      <protection locked="0"/>
    </xf>
    <xf numFmtId="0" fontId="3" fillId="2" borderId="0" xfId="0" applyFont="1" applyFill="1"/>
    <xf numFmtId="0" fontId="0" fillId="3" borderId="6" xfId="0" applyFill="1" applyBorder="1"/>
    <xf numFmtId="0" fontId="6" fillId="3" borderId="0" xfId="1" applyNumberFormat="1" applyFont="1" applyFill="1"/>
    <xf numFmtId="0" fontId="2" fillId="2" borderId="0" xfId="0" applyFont="1" applyFill="1"/>
    <xf numFmtId="0" fontId="0" fillId="3" borderId="7" xfId="0" applyFill="1" applyBorder="1"/>
    <xf numFmtId="0" fontId="0" fillId="3" borderId="8" xfId="0" applyFill="1" applyBorder="1"/>
    <xf numFmtId="0" fontId="0" fillId="2" borderId="7" xfId="0" applyFill="1" applyBorder="1"/>
    <xf numFmtId="0" fontId="5" fillId="2" borderId="0" xfId="0" applyFont="1" applyFill="1"/>
    <xf numFmtId="0" fontId="8" fillId="0" borderId="9" xfId="2" applyBorder="1" applyAlignment="1">
      <alignment horizontal="left"/>
    </xf>
    <xf numFmtId="0" fontId="8" fillId="0" borderId="10" xfId="2" applyBorder="1" applyAlignment="1">
      <alignment horizontal="left"/>
    </xf>
    <xf numFmtId="0" fontId="8" fillId="4" borderId="11" xfId="2" applyFill="1" applyBorder="1" applyAlignment="1">
      <alignment horizontal="center" wrapText="1"/>
    </xf>
    <xf numFmtId="0" fontId="8" fillId="4" borderId="12" xfId="2" applyFill="1" applyBorder="1" applyAlignment="1">
      <alignment horizontal="center" wrapText="1"/>
    </xf>
    <xf numFmtId="0" fontId="4" fillId="0" borderId="0" xfId="0" applyFont="1"/>
    <xf numFmtId="0" fontId="0" fillId="0" borderId="0" xfId="0" applyAlignment="1">
      <alignment horizontal="center"/>
    </xf>
    <xf numFmtId="0" fontId="8" fillId="0" borderId="0" xfId="2" applyAlignment="1">
      <alignment horizontal="left"/>
    </xf>
    <xf numFmtId="0" fontId="8" fillId="4" borderId="0" xfId="2" applyFill="1" applyAlignment="1">
      <alignment horizontal="center" wrapText="1"/>
    </xf>
    <xf numFmtId="14" fontId="0" fillId="5" borderId="0" xfId="0" applyNumberFormat="1" applyFill="1"/>
    <xf numFmtId="0" fontId="0" fillId="0" borderId="0" xfId="0" applyAlignment="1">
      <alignment horizontal="right"/>
    </xf>
    <xf numFmtId="0" fontId="0" fillId="0" borderId="13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/>
    <xf numFmtId="0" fontId="0" fillId="0" borderId="16" xfId="0" applyBorder="1"/>
    <xf numFmtId="164" fontId="0" fillId="0" borderId="17" xfId="0" applyNumberFormat="1" applyBorder="1"/>
    <xf numFmtId="44" fontId="0" fillId="0" borderId="16" xfId="1" applyFont="1" applyBorder="1" applyAlignment="1">
      <alignment horizontal="right"/>
    </xf>
    <xf numFmtId="0" fontId="0" fillId="0" borderId="18" xfId="0" applyBorder="1"/>
    <xf numFmtId="166" fontId="0" fillId="0" borderId="16" xfId="1" applyNumberFormat="1" applyFont="1" applyBorder="1" applyAlignment="1">
      <alignment horizontal="right"/>
    </xf>
    <xf numFmtId="44" fontId="0" fillId="0" borderId="0" xfId="1" applyFont="1"/>
    <xf numFmtId="0" fontId="0" fillId="0" borderId="19" xfId="0" applyBorder="1"/>
    <xf numFmtId="166" fontId="0" fillId="0" borderId="19" xfId="1" applyNumberFormat="1" applyFont="1" applyBorder="1" applyAlignment="1">
      <alignment horizontal="right"/>
    </xf>
    <xf numFmtId="164" fontId="0" fillId="0" borderId="20" xfId="0" applyNumberFormat="1" applyBorder="1"/>
    <xf numFmtId="9" fontId="0" fillId="0" borderId="0" xfId="3" applyFont="1"/>
    <xf numFmtId="0" fontId="2" fillId="0" borderId="0" xfId="0" applyFont="1" applyAlignment="1">
      <alignment horizontal="right"/>
    </xf>
    <xf numFmtId="0" fontId="0" fillId="0" borderId="3" xfId="0" applyBorder="1"/>
    <xf numFmtId="164" fontId="0" fillId="0" borderId="3" xfId="0" applyNumberFormat="1" applyBorder="1"/>
    <xf numFmtId="0" fontId="0" fillId="0" borderId="4" xfId="0" applyBorder="1"/>
    <xf numFmtId="164" fontId="0" fillId="0" borderId="4" xfId="0" applyNumberFormat="1" applyBorder="1"/>
    <xf numFmtId="0" fontId="10" fillId="0" borderId="0" xfId="0" applyFont="1"/>
    <xf numFmtId="0" fontId="0" fillId="0" borderId="16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/>
    </xf>
  </cellXfs>
  <cellStyles count="4">
    <cellStyle name="Normalny" xfId="0" builtinId="0"/>
    <cellStyle name="Normalny 4" xfId="2" xr:uid="{00000000-0005-0000-0000-000001000000}"/>
    <cellStyle name="Procentowy" xfId="3" builtinId="5"/>
    <cellStyle name="Walutowy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Drop" dropStyle="combo" dx="15" fmlaLink="Katalog!$J$1" fmlaRange="Katalog!$B$2:$B$6" noThreeD="1" sel="1" val="0"/>
</file>

<file path=xl/ctrlProps/ctrlProp2.xml><?xml version="1.0" encoding="utf-8"?>
<formControlPr xmlns="http://schemas.microsoft.com/office/spreadsheetml/2009/9/main" objectType="Spin" dx="15" fmlaLink="$F$11" max="30000" page="10" val="0"/>
</file>

<file path=xl/ctrlProps/ctrlProp3.xml><?xml version="1.0" encoding="utf-8"?>
<formControlPr xmlns="http://schemas.microsoft.com/office/spreadsheetml/2009/9/main" objectType="Spin" dx="15" fmlaLink="$F$12" max="30000" page="10" val="0"/>
</file>

<file path=xl/ctrlProps/ctrlProp4.xml><?xml version="1.0" encoding="utf-8"?>
<formControlPr xmlns="http://schemas.microsoft.com/office/spreadsheetml/2009/9/main" objectType="CheckBox" checked="Checked" fmlaLink="$M$10" lockText="1" noThreeD="1"/>
</file>

<file path=xl/ctrlProps/ctrlProp5.xml><?xml version="1.0" encoding="utf-8"?>
<formControlPr xmlns="http://schemas.microsoft.com/office/spreadsheetml/2009/9/main" objectType="CheckBox" checked="Checked" fmlaLink="$M$12" lockText="1" noThreeD="1"/>
</file>

<file path=xl/ctrlProps/ctrlProp6.xml><?xml version="1.0" encoding="utf-8"?>
<formControlPr xmlns="http://schemas.microsoft.com/office/spreadsheetml/2009/9/main" objectType="Spin" dx="15" fmlaLink="$F$13" max="30000" page="10" val="0"/>
</file>

<file path=xl/ctrlProps/ctrlProp7.xml><?xml version="1.0" encoding="utf-8"?>
<formControlPr xmlns="http://schemas.microsoft.com/office/spreadsheetml/2009/9/main" objectType="Radio" firstButton="1" fmlaLink="$M$26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fmlaLink="$O$34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List" dx="15" fmlaLink="klienci!$L$1" fmlaRange="klienci!$J$2:$J$6" noThreeD="1" sel="2" val="0"/>
</file>

<file path=xl/ctrlProps/ctrlProp16.xml><?xml version="1.0" encoding="utf-8"?>
<formControlPr xmlns="http://schemas.microsoft.com/office/spreadsheetml/2009/9/main" objectType="Drop" dropStyle="combo" dx="15" fmlaLink="$G$40" fmlaRange="Katalog!$H$1:$H$3" noThreeD="1" sel="2" val="0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127000</xdr:colOff>
          <xdr:row>0</xdr:row>
          <xdr:rowOff>63500</xdr:rowOff>
        </xdr:from>
        <xdr:to>
          <xdr:col>11</xdr:col>
          <xdr:colOff>736600</xdr:colOff>
          <xdr:row>2</xdr:row>
          <xdr:rowOff>127000</xdr:rowOff>
        </xdr:to>
        <xdr:sp macro="" textlink="">
          <xdr:nvSpPr>
            <xdr:cNvPr id="1049" name="Drop Dow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9</xdr:row>
          <xdr:rowOff>342900</xdr:rowOff>
        </xdr:from>
        <xdr:to>
          <xdr:col>5</xdr:col>
          <xdr:colOff>342900</xdr:colOff>
          <xdr:row>11</xdr:row>
          <xdr:rowOff>12700</xdr:rowOff>
        </xdr:to>
        <xdr:sp macro="" textlink="">
          <xdr:nvSpPr>
            <xdr:cNvPr id="1050" name="Spinner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812800</xdr:colOff>
          <xdr:row>10</xdr:row>
          <xdr:rowOff>165100</xdr:rowOff>
        </xdr:from>
        <xdr:to>
          <xdr:col>5</xdr:col>
          <xdr:colOff>406400</xdr:colOff>
          <xdr:row>12</xdr:row>
          <xdr:rowOff>12700</xdr:rowOff>
        </xdr:to>
        <xdr:sp macro="" textlink="">
          <xdr:nvSpPr>
            <xdr:cNvPr id="1052" name="Spinner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127000</xdr:colOff>
          <xdr:row>8</xdr:row>
          <xdr:rowOff>152400</xdr:rowOff>
        </xdr:from>
        <xdr:to>
          <xdr:col>11</xdr:col>
          <xdr:colOff>444500</xdr:colOff>
          <xdr:row>9</xdr:row>
          <xdr:rowOff>177800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klient stały</a:t>
              </a:r>
            </a:p>
            <a:p>
              <a:pPr algn="l" rtl="0">
                <a:defRPr sz="1000"/>
              </a:pPr>
              <a:endParaRPr lang="pl-PL"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9</xdr:row>
          <xdr:rowOff>368300</xdr:rowOff>
        </xdr:from>
        <xdr:to>
          <xdr:col>11</xdr:col>
          <xdr:colOff>736600</xdr:colOff>
          <xdr:row>11</xdr:row>
          <xdr:rowOff>127000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kupon rabatowy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11</xdr:row>
          <xdr:rowOff>177800</xdr:rowOff>
        </xdr:from>
        <xdr:to>
          <xdr:col>5</xdr:col>
          <xdr:colOff>381000</xdr:colOff>
          <xdr:row>13</xdr:row>
          <xdr:rowOff>12700</xdr:rowOff>
        </xdr:to>
        <xdr:sp macro="" textlink="">
          <xdr:nvSpPr>
            <xdr:cNvPr id="1058" name="Spinner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21</xdr:row>
          <xdr:rowOff>152400</xdr:rowOff>
        </xdr:from>
        <xdr:to>
          <xdr:col>12</xdr:col>
          <xdr:colOff>101600</xdr:colOff>
          <xdr:row>23</xdr:row>
          <xdr:rowOff>127000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gotówka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584200</xdr:colOff>
          <xdr:row>24</xdr:row>
          <xdr:rowOff>25400</xdr:rowOff>
        </xdr:from>
        <xdr:to>
          <xdr:col>12</xdr:col>
          <xdr:colOff>304800</xdr:colOff>
          <xdr:row>26</xdr:row>
          <xdr:rowOff>50800</xdr:rowOff>
        </xdr:to>
        <xdr:sp macro="" textlink="">
          <xdr:nvSpPr>
            <xdr:cNvPr id="1060" name="Option 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karta płatnicza</a:t>
              </a:r>
            </a:p>
            <a:p>
              <a:pPr algn="l" rtl="0">
                <a:defRPr sz="1000"/>
              </a:pPr>
              <a:endParaRPr lang="pl-PL"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635000</xdr:colOff>
          <xdr:row>27</xdr:row>
          <xdr:rowOff>12700</xdr:rowOff>
        </xdr:from>
        <xdr:to>
          <xdr:col>12</xdr:col>
          <xdr:colOff>266700</xdr:colOff>
          <xdr:row>28</xdr:row>
          <xdr:rowOff>88900</xdr:rowOff>
        </xdr:to>
        <xdr:sp macro="" textlink="">
          <xdr:nvSpPr>
            <xdr:cNvPr id="1061" name="Option 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przelew</a:t>
              </a:r>
            </a:p>
            <a:p>
              <a:pPr algn="l" rtl="0">
                <a:defRPr sz="1000"/>
              </a:pPr>
              <a:endParaRPr lang="pl-PL"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596900</xdr:colOff>
          <xdr:row>31</xdr:row>
          <xdr:rowOff>152400</xdr:rowOff>
        </xdr:from>
        <xdr:to>
          <xdr:col>12</xdr:col>
          <xdr:colOff>469900</xdr:colOff>
          <xdr:row>34</xdr:row>
          <xdr:rowOff>38100</xdr:rowOff>
        </xdr:to>
        <xdr:sp macro="" textlink="">
          <xdr:nvSpPr>
            <xdr:cNvPr id="1062" name="Option 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kasa 1</a:t>
              </a:r>
            </a:p>
            <a:p>
              <a:pPr algn="l" rtl="0">
                <a:defRPr sz="1000"/>
              </a:pPr>
              <a:endParaRPr lang="pl-PL"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635000</xdr:colOff>
          <xdr:row>34</xdr:row>
          <xdr:rowOff>25400</xdr:rowOff>
        </xdr:from>
        <xdr:to>
          <xdr:col>12</xdr:col>
          <xdr:colOff>482600</xdr:colOff>
          <xdr:row>36</xdr:row>
          <xdr:rowOff>25400</xdr:rowOff>
        </xdr:to>
        <xdr:sp macro="" textlink="">
          <xdr:nvSpPr>
            <xdr:cNvPr id="1063" name="Option 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kasa 2</a:t>
              </a:r>
            </a:p>
            <a:p>
              <a:pPr algn="l" rtl="0">
                <a:defRPr sz="1000"/>
              </a:pPr>
              <a:endParaRPr lang="pl-PL"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31</xdr:row>
          <xdr:rowOff>38100</xdr:rowOff>
        </xdr:from>
        <xdr:to>
          <xdr:col>13</xdr:col>
          <xdr:colOff>190500</xdr:colOff>
          <xdr:row>36</xdr:row>
          <xdr:rowOff>88900</xdr:rowOff>
        </xdr:to>
        <xdr:sp macro="" textlink="">
          <xdr:nvSpPr>
            <xdr:cNvPr id="1065" name="Group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6576" rIns="0" bIns="0" anchor="t" upright="1"/>
            <a:lstStyle/>
            <a:p>
              <a:pPr algn="l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Kasa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241300</xdr:colOff>
          <xdr:row>21</xdr:row>
          <xdr:rowOff>0</xdr:rowOff>
        </xdr:from>
        <xdr:to>
          <xdr:col>12</xdr:col>
          <xdr:colOff>444500</xdr:colOff>
          <xdr:row>30</xdr:row>
          <xdr:rowOff>0</xdr:rowOff>
        </xdr:to>
        <xdr:sp macro="" textlink="">
          <xdr:nvSpPr>
            <xdr:cNvPr id="1066" name="Group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6576" rIns="0" bIns="0" anchor="t" upright="1"/>
            <a:lstStyle/>
            <a:p>
              <a:pPr algn="l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 płatności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63500</xdr:rowOff>
        </xdr:from>
        <xdr:to>
          <xdr:col>11</xdr:col>
          <xdr:colOff>812800</xdr:colOff>
          <xdr:row>12</xdr:row>
          <xdr:rowOff>12700</xdr:rowOff>
        </xdr:to>
        <xdr:sp macro="" textlink="">
          <xdr:nvSpPr>
            <xdr:cNvPr id="1067" name="Group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6576" rIns="0" bIns="0" anchor="t" upright="1"/>
            <a:lstStyle/>
            <a:p>
              <a:pPr algn="l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Rabat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21</xdr:row>
          <xdr:rowOff>101600</xdr:rowOff>
        </xdr:from>
        <xdr:to>
          <xdr:col>9</xdr:col>
          <xdr:colOff>215900</xdr:colOff>
          <xdr:row>29</xdr:row>
          <xdr:rowOff>101600</xdr:rowOff>
        </xdr:to>
        <xdr:sp macro="" textlink="">
          <xdr:nvSpPr>
            <xdr:cNvPr id="1068" name="List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622300</xdr:colOff>
          <xdr:row>28</xdr:row>
          <xdr:rowOff>114300</xdr:rowOff>
        </xdr:from>
        <xdr:to>
          <xdr:col>4</xdr:col>
          <xdr:colOff>317500</xdr:colOff>
          <xdr:row>33</xdr:row>
          <xdr:rowOff>50800</xdr:rowOff>
        </xdr:to>
        <xdr:sp macro="" textlink="">
          <xdr:nvSpPr>
            <xdr:cNvPr id="1069" name="Drop Dow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40</xdr:row>
      <xdr:rowOff>0</xdr:rowOff>
    </xdr:from>
    <xdr:to>
      <xdr:col>3</xdr:col>
      <xdr:colOff>595702</xdr:colOff>
      <xdr:row>48</xdr:row>
      <xdr:rowOff>80513</xdr:rowOff>
    </xdr:to>
    <xdr:pic macro="[0]!druk">
      <xdr:nvPicPr>
        <xdr:cNvPr id="2" name="Obraz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3396" y="6985000"/>
          <a:ext cx="1422400" cy="1422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41</xdr:row>
          <xdr:rowOff>44450</xdr:rowOff>
        </xdr:from>
        <xdr:to>
          <xdr:col>7</xdr:col>
          <xdr:colOff>558800</xdr:colOff>
          <xdr:row>45</xdr:row>
          <xdr:rowOff>120650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czyszczenie makra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B6412-74C8-6940-AAFD-2442775A7F91}">
  <sheetPr codeName="Arkusz6"/>
  <dimension ref="A1:O40"/>
  <sheetViews>
    <sheetView tabSelected="1" zoomScale="80" zoomScaleNormal="80" workbookViewId="0">
      <selection activeCell="D14" sqref="D14"/>
    </sheetView>
  </sheetViews>
  <sheetFormatPr defaultColWidth="10.90625" defaultRowHeight="12.5" x14ac:dyDescent="0.25"/>
  <cols>
    <col min="4" max="4" width="12.36328125" customWidth="1"/>
    <col min="7" max="7" width="13.453125" customWidth="1"/>
  </cols>
  <sheetData>
    <row r="1" spans="1:15" ht="13" x14ac:dyDescent="0.3">
      <c r="B1" s="46" t="s">
        <v>25</v>
      </c>
      <c r="C1" t="str" cm="1">
        <f t="array" ref="C1">INDEX(klienci!$A$2:$A$6,klienci!L1,)</f>
        <v>Henryk</v>
      </c>
      <c r="F1" s="31" t="s">
        <v>89</v>
      </c>
      <c r="G1" s="55">
        <f ca="1">TODAY()</f>
        <v>45229</v>
      </c>
      <c r="H1" s="55"/>
    </row>
    <row r="2" spans="1:15" ht="13" x14ac:dyDescent="0.3">
      <c r="B2" s="46" t="s">
        <v>26</v>
      </c>
      <c r="C2" t="str" cm="1">
        <f t="array" ref="C2">INDEX(klienci!B2:B6,klienci!L1)</f>
        <v>Kowalski</v>
      </c>
      <c r="F2" s="31" t="s">
        <v>90</v>
      </c>
      <c r="G2" s="55">
        <f ca="1">G1+ 14</f>
        <v>45243</v>
      </c>
      <c r="H2" s="55"/>
    </row>
    <row r="3" spans="1:15" ht="13" x14ac:dyDescent="0.3">
      <c r="B3" s="46" t="s">
        <v>27</v>
      </c>
      <c r="C3" t="str" cm="1">
        <f t="array" ref="C3">INDEX(klienci!C2:C6,klienci!L1)</f>
        <v>80-158</v>
      </c>
    </row>
    <row r="4" spans="1:15" ht="13" x14ac:dyDescent="0.3">
      <c r="B4" s="46" t="s">
        <v>28</v>
      </c>
      <c r="C4" t="str" cm="1">
        <f t="array" ref="C4">INDEX(klienci!D2:D6,klienci!L1)</f>
        <v>Sopot</v>
      </c>
      <c r="O4" t="b" cm="1">
        <f t="array" aca="1" ref="O4" ca="1">INDEX(klienci!I2:I6,klienci!L1)="TAK"</f>
        <v>0</v>
      </c>
    </row>
    <row r="5" spans="1:15" ht="13" x14ac:dyDescent="0.3">
      <c r="B5" s="46" t="s">
        <v>29</v>
      </c>
      <c r="C5" t="str" cm="1">
        <f t="array" ref="C5">INDEX(klienci!E2:E6,klienci!L1)</f>
        <v>Niepodległości 101</v>
      </c>
      <c r="K5" t="s">
        <v>99</v>
      </c>
      <c r="L5" t="str" cm="1">
        <f t="array" ref="L5">INDEX(Katalog!A2:A6,Katalog!J1)</f>
        <v>A0045</v>
      </c>
    </row>
    <row r="6" spans="1:15" x14ac:dyDescent="0.25">
      <c r="K6" t="s">
        <v>11</v>
      </c>
      <c r="L6" s="41" cm="1">
        <f t="array" ref="L6">INDEX(Katalog!C2:C6,Katalog!J1)</f>
        <v>150</v>
      </c>
    </row>
    <row r="8" spans="1:15" x14ac:dyDescent="0.25">
      <c r="A8" t="s">
        <v>91</v>
      </c>
    </row>
    <row r="9" spans="1:15" ht="13" thickBot="1" x14ac:dyDescent="0.3"/>
    <row r="10" spans="1:15" ht="25.5" thickBot="1" x14ac:dyDescent="0.3">
      <c r="B10" s="32" t="s">
        <v>92</v>
      </c>
      <c r="C10" s="33" t="s">
        <v>93</v>
      </c>
      <c r="D10" s="33" t="s">
        <v>94</v>
      </c>
      <c r="E10" s="33" t="s">
        <v>11</v>
      </c>
      <c r="F10" s="33" t="s">
        <v>95</v>
      </c>
      <c r="G10" s="34" t="s">
        <v>96</v>
      </c>
      <c r="M10" t="b">
        <v>1</v>
      </c>
    </row>
    <row r="11" spans="1:15" ht="13" thickBot="1" x14ac:dyDescent="0.3">
      <c r="B11" s="35" t="str">
        <f>IF(C11="","",COUNTA($C$11:C11))</f>
        <v/>
      </c>
      <c r="C11" s="52"/>
      <c r="D11" s="36" t="str">
        <f>IF(C11="","-",VLOOKUP(zamówienie!C11,Katalog!$A$2:$D$6,4,FALSE))</f>
        <v>-</v>
      </c>
      <c r="E11" s="38" t="str">
        <f>IF(C11="","-",VLOOKUP(zamówienie!C11,Katalog!$A$2:$D$6,3,0))</f>
        <v>-</v>
      </c>
      <c r="F11" s="52"/>
      <c r="G11" s="37" t="str">
        <f>IF(C11="","-",E11*F11)</f>
        <v>-</v>
      </c>
    </row>
    <row r="12" spans="1:15" ht="13" thickBot="1" x14ac:dyDescent="0.3">
      <c r="B12" s="35" t="str">
        <f>IF(C12="","",COUNTA($C$11:C12))</f>
        <v/>
      </c>
      <c r="C12" s="52"/>
      <c r="D12" s="36" t="str">
        <f>IF(C12="","-",VLOOKUP(zamówienie!C12,Katalog!$A$2:$D$6,4,FALSE))</f>
        <v>-</v>
      </c>
      <c r="E12" s="38" t="str">
        <f>IF(C12="","-",VLOOKUP(zamówienie!C12,Katalog!$A$2:$D$6,3,FALSE))</f>
        <v>-</v>
      </c>
      <c r="F12" s="54"/>
      <c r="G12" s="37" t="str">
        <f t="shared" ref="G12:G15" si="0">IF(C12="","-",E12*F12)</f>
        <v>-</v>
      </c>
      <c r="M12" s="54" t="b">
        <v>1</v>
      </c>
    </row>
    <row r="13" spans="1:15" ht="13" thickBot="1" x14ac:dyDescent="0.3">
      <c r="B13" s="35">
        <f>IF(C13="","",COUNTA($C$11:C13))</f>
        <v>1</v>
      </c>
      <c r="C13" s="52" t="s">
        <v>21</v>
      </c>
      <c r="D13" s="36" t="str">
        <f>IF(C13="","-",VLOOKUP(zamówienie!C13,Katalog!$A$2:$D$6,4,FALSE))</f>
        <v>czajnik</v>
      </c>
      <c r="E13" s="38">
        <f>IF(C13="","-",VLOOKUP(zamówienie!C13,Katalog!$A$2:$D$6,3,FALSE))</f>
        <v>100</v>
      </c>
      <c r="F13" s="54"/>
      <c r="G13" s="37">
        <f t="shared" si="0"/>
        <v>0</v>
      </c>
    </row>
    <row r="14" spans="1:15" ht="13" thickBot="1" x14ac:dyDescent="0.3">
      <c r="B14" s="35">
        <f>IF(C14="","",COUNTA($C$11:C14))</f>
        <v>2</v>
      </c>
      <c r="C14" s="52" t="s">
        <v>19</v>
      </c>
      <c r="D14" s="36" t="str">
        <f>IF(C14="","-",VLOOKUP(zamówienie!C14,Katalog!$A$2:$D$6,4,FALSE))</f>
        <v>odkurzacz</v>
      </c>
      <c r="E14" s="40">
        <f>IF(C14="","-",VLOOKUP(zamówienie!C14,Katalog!$A$2:$D$6,3,FALSE))</f>
        <v>250</v>
      </c>
      <c r="F14" s="54"/>
      <c r="G14" s="37">
        <f t="shared" si="0"/>
        <v>0</v>
      </c>
      <c r="K14" t="s">
        <v>100</v>
      </c>
      <c r="L14" s="45">
        <v>0.05</v>
      </c>
    </row>
    <row r="15" spans="1:15" x14ac:dyDescent="0.25">
      <c r="B15" s="35" t="str">
        <f>IF(C15="","",COUNTA($C$11:C15))</f>
        <v/>
      </c>
      <c r="C15" s="52"/>
      <c r="D15" s="36" t="str">
        <f>IF(C15="","-",VLOOKUP(zamówienie!C15,Katalog!$A$2:$D$6,4,FALSE))</f>
        <v>-</v>
      </c>
      <c r="E15" s="40" t="str">
        <f>IF(C15="","-",VLOOKUP(zamówienie!C15,Katalog!$A$2:$D$6,3,FALSE))</f>
        <v>-</v>
      </c>
      <c r="F15" s="54"/>
      <c r="G15" s="37" t="str">
        <f t="shared" si="0"/>
        <v>-</v>
      </c>
      <c r="K15" t="s">
        <v>101</v>
      </c>
      <c r="L15" s="45">
        <v>0.08</v>
      </c>
    </row>
    <row r="16" spans="1:15" ht="13" thickBot="1" x14ac:dyDescent="0.3">
      <c r="B16" s="39" t="str">
        <f>IF(C16="","",COUNTA($C$11:C16))</f>
        <v/>
      </c>
      <c r="C16" s="53"/>
      <c r="D16" s="42" t="str">
        <f>IF(C16="","-",VLOOKUP(zamówienie!C16,Katalog!$A$2:$D$6,4,FALSE))</f>
        <v>-</v>
      </c>
      <c r="E16" s="43" t="str">
        <f>IF(C16="","-",VLOOKUP(zamówienie!C16,Katalog!$A$2:$D$6,3,FALSE))</f>
        <v>-</v>
      </c>
      <c r="F16" s="53"/>
      <c r="G16" s="44" t="str">
        <f>IF(C16="","-",E16*#REF!)</f>
        <v>-</v>
      </c>
    </row>
    <row r="17" spans="2:13" x14ac:dyDescent="0.25">
      <c r="E17" s="41"/>
      <c r="F17" s="49" t="s">
        <v>98</v>
      </c>
      <c r="G17" s="50">
        <f>SUM(G11:G16)</f>
        <v>0</v>
      </c>
      <c r="M17">
        <f>M10+M12</f>
        <v>2</v>
      </c>
    </row>
    <row r="18" spans="2:13" x14ac:dyDescent="0.25">
      <c r="F18" s="47" t="s">
        <v>102</v>
      </c>
      <c r="G18" s="48">
        <f>(G17*M19)</f>
        <v>0</v>
      </c>
    </row>
    <row r="19" spans="2:13" x14ac:dyDescent="0.25">
      <c r="F19" s="47" t="s">
        <v>103</v>
      </c>
      <c r="G19" s="48">
        <f>G17-G18</f>
        <v>0</v>
      </c>
      <c r="M19" s="45">
        <f>IF(M17=2,L15,IF(M17=1,L14,0))</f>
        <v>0.08</v>
      </c>
    </row>
    <row r="24" spans="2:13" x14ac:dyDescent="0.25">
      <c r="B24" t="e" cm="1">
        <f t="array" ref="B24">"Forma zapłaty: "&amp; _xlfn.IFS(M26=1,"gotówka",M13=2,"przelew",M13=3,"karta płatnicza")&amp;IF(M13=2,"", " w kasie nr "&amp;N19)</f>
        <v>#N/A</v>
      </c>
    </row>
    <row r="26" spans="2:13" x14ac:dyDescent="0.25">
      <c r="M26" s="54">
        <v>3</v>
      </c>
    </row>
    <row r="34" spans="7:15" x14ac:dyDescent="0.25">
      <c r="O34" s="54">
        <v>2</v>
      </c>
    </row>
    <row r="40" spans="7:15" x14ac:dyDescent="0.25">
      <c r="G40">
        <v>2</v>
      </c>
    </row>
  </sheetData>
  <sheetProtection algorithmName="SHA-512" hashValue="7cqaYyrYbiIKOo465B3bZPvQYZj7iG61zsq7AZMx/kLeGQ+I3pfVsoQV1kX2Sjdg5jYIpsAjllq1oT1/06ADHQ==" saltValue="+Qg3bZypOBLNnJeFyuw7xQ==" spinCount="100000" sheet="1" objects="1" scenarios="1"/>
  <mergeCells count="2">
    <mergeCell ref="G1:H1"/>
    <mergeCell ref="G2:H2"/>
  </mergeCells>
  <phoneticPr fontId="9" type="noConversion"/>
  <dataValidations count="1">
    <dataValidation type="whole" operator="greaterThanOrEqual" allowBlank="1" showInputMessage="1" showErrorMessage="1" sqref="F11:F16" xr:uid="{AC436B60-DC99-FF4D-9E7B-2F49EC0B00D3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Drop Down 25">
              <controlPr defaultSize="0" autoLine="0" autoPict="0">
                <anchor moveWithCells="1">
                  <from>
                    <xdr:col>10</xdr:col>
                    <xdr:colOff>127000</xdr:colOff>
                    <xdr:row>0</xdr:row>
                    <xdr:rowOff>63500</xdr:rowOff>
                  </from>
                  <to>
                    <xdr:col>11</xdr:col>
                    <xdr:colOff>736600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Spinner 26">
              <controlPr defaultSize="0" autoPict="0">
                <anchor moveWithCells="1" sizeWithCells="1">
                  <from>
                    <xdr:col>5</xdr:col>
                    <xdr:colOff>12700</xdr:colOff>
                    <xdr:row>9</xdr:row>
                    <xdr:rowOff>342900</xdr:rowOff>
                  </from>
                  <to>
                    <xdr:col>5</xdr:col>
                    <xdr:colOff>342900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Spinner 28">
              <controlPr defaultSize="0" autoPict="0">
                <anchor moveWithCells="1" sizeWithCells="1">
                  <from>
                    <xdr:col>4</xdr:col>
                    <xdr:colOff>812800</xdr:colOff>
                    <xdr:row>10</xdr:row>
                    <xdr:rowOff>165100</xdr:rowOff>
                  </from>
                  <to>
                    <xdr:col>5</xdr:col>
                    <xdr:colOff>406400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Check Box 30">
              <controlPr defaultSize="0" autoFill="0" autoLine="0" autoPict="0">
                <anchor moveWithCells="1">
                  <from>
                    <xdr:col>10</xdr:col>
                    <xdr:colOff>127000</xdr:colOff>
                    <xdr:row>8</xdr:row>
                    <xdr:rowOff>152400</xdr:rowOff>
                  </from>
                  <to>
                    <xdr:col>11</xdr:col>
                    <xdr:colOff>444500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8" name="Check Box 31">
              <controlPr defaultSize="0" autoFill="0" autoLine="0" autoPict="0">
                <anchor moveWithCells="1">
                  <from>
                    <xdr:col>10</xdr:col>
                    <xdr:colOff>152400</xdr:colOff>
                    <xdr:row>9</xdr:row>
                    <xdr:rowOff>368300</xdr:rowOff>
                  </from>
                  <to>
                    <xdr:col>11</xdr:col>
                    <xdr:colOff>736600</xdr:colOff>
                    <xdr:row>11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Spinner 34">
              <controlPr defaultSize="0" autoPict="0">
                <anchor moveWithCells="1" sizeWithCells="1">
                  <from>
                    <xdr:col>5</xdr:col>
                    <xdr:colOff>12700</xdr:colOff>
                    <xdr:row>11</xdr:row>
                    <xdr:rowOff>177800</xdr:rowOff>
                  </from>
                  <to>
                    <xdr:col>5</xdr:col>
                    <xdr:colOff>381000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Option Button 35">
              <controlPr defaultSize="0" autoFill="0" autoLine="0" autoPict="0">
                <anchor moveWithCells="1">
                  <from>
                    <xdr:col>10</xdr:col>
                    <xdr:colOff>571500</xdr:colOff>
                    <xdr:row>21</xdr:row>
                    <xdr:rowOff>152400</xdr:rowOff>
                  </from>
                  <to>
                    <xdr:col>12</xdr:col>
                    <xdr:colOff>101600</xdr:colOff>
                    <xdr:row>23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Option Button 36">
              <controlPr defaultSize="0" autoFill="0" autoLine="0" autoPict="0">
                <anchor moveWithCells="1">
                  <from>
                    <xdr:col>10</xdr:col>
                    <xdr:colOff>584200</xdr:colOff>
                    <xdr:row>24</xdr:row>
                    <xdr:rowOff>25400</xdr:rowOff>
                  </from>
                  <to>
                    <xdr:col>12</xdr:col>
                    <xdr:colOff>304800</xdr:colOff>
                    <xdr:row>26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2" name="Option Button 37">
              <controlPr defaultSize="0" autoFill="0" autoLine="0" autoPict="0">
                <anchor moveWithCells="1">
                  <from>
                    <xdr:col>10</xdr:col>
                    <xdr:colOff>635000</xdr:colOff>
                    <xdr:row>27</xdr:row>
                    <xdr:rowOff>12700</xdr:rowOff>
                  </from>
                  <to>
                    <xdr:col>12</xdr:col>
                    <xdr:colOff>266700</xdr:colOff>
                    <xdr:row>28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3" name="Option Button 38">
              <controlPr defaultSize="0" autoFill="0" autoLine="0" autoPict="0">
                <anchor moveWithCells="1">
                  <from>
                    <xdr:col>10</xdr:col>
                    <xdr:colOff>596900</xdr:colOff>
                    <xdr:row>31</xdr:row>
                    <xdr:rowOff>152400</xdr:rowOff>
                  </from>
                  <to>
                    <xdr:col>12</xdr:col>
                    <xdr:colOff>469900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4" name="Option Button 39">
              <controlPr defaultSize="0" autoFill="0" autoLine="0" autoPict="0">
                <anchor moveWithCells="1">
                  <from>
                    <xdr:col>10</xdr:col>
                    <xdr:colOff>635000</xdr:colOff>
                    <xdr:row>34</xdr:row>
                    <xdr:rowOff>25400</xdr:rowOff>
                  </from>
                  <to>
                    <xdr:col>12</xdr:col>
                    <xdr:colOff>482600</xdr:colOff>
                    <xdr:row>36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5" name="Group Box 41">
              <controlPr defaultSize="0" autoFill="0" autoPict="0">
                <anchor moveWithCells="1">
                  <from>
                    <xdr:col>10</xdr:col>
                    <xdr:colOff>381000</xdr:colOff>
                    <xdr:row>31</xdr:row>
                    <xdr:rowOff>38100</xdr:rowOff>
                  </from>
                  <to>
                    <xdr:col>13</xdr:col>
                    <xdr:colOff>190500</xdr:colOff>
                    <xdr:row>36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6" name="Group Box 42">
              <controlPr defaultSize="0" autoFill="0" autoPict="0">
                <anchor moveWithCells="1">
                  <from>
                    <xdr:col>10</xdr:col>
                    <xdr:colOff>241300</xdr:colOff>
                    <xdr:row>21</xdr:row>
                    <xdr:rowOff>0</xdr:rowOff>
                  </from>
                  <to>
                    <xdr:col>12</xdr:col>
                    <xdr:colOff>444500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7" name="Group Box 43">
              <controlPr defaultSize="0" autoFill="0" autoPict="0">
                <anchor moveWithCells="1">
                  <from>
                    <xdr:col>10</xdr:col>
                    <xdr:colOff>0</xdr:colOff>
                    <xdr:row>8</xdr:row>
                    <xdr:rowOff>63500</xdr:rowOff>
                  </from>
                  <to>
                    <xdr:col>11</xdr:col>
                    <xdr:colOff>812800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8" name="List Box 44">
              <controlPr defaultSize="0" autoLine="0" autoPict="0">
                <anchor moveWithCells="1">
                  <from>
                    <xdr:col>6</xdr:col>
                    <xdr:colOff>381000</xdr:colOff>
                    <xdr:row>21</xdr:row>
                    <xdr:rowOff>101600</xdr:rowOff>
                  </from>
                  <to>
                    <xdr:col>9</xdr:col>
                    <xdr:colOff>215900</xdr:colOff>
                    <xdr:row>29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19" name="Drop Down 45">
              <controlPr defaultSize="0" autoLine="0" autoPict="0">
                <anchor moveWithCells="1">
                  <from>
                    <xdr:col>1</xdr:col>
                    <xdr:colOff>622300</xdr:colOff>
                    <xdr:row>28</xdr:row>
                    <xdr:rowOff>114300</xdr:rowOff>
                  </from>
                  <to>
                    <xdr:col>4</xdr:col>
                    <xdr:colOff>317500</xdr:colOff>
                    <xdr:row>33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0" name="Button 47">
              <controlPr defaultSize="0" print="0" autoFill="0" autoPict="0" macro="[0]!czyszczenie">
                <anchor moveWithCells="1" sizeWithCells="1">
                  <from>
                    <xdr:col>5</xdr:col>
                    <xdr:colOff>571500</xdr:colOff>
                    <xdr:row>41</xdr:row>
                    <xdr:rowOff>44450</xdr:rowOff>
                  </from>
                  <to>
                    <xdr:col>7</xdr:col>
                    <xdr:colOff>558800</xdr:colOff>
                    <xdr:row>45</xdr:row>
                    <xdr:rowOff>120650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3814CF-A22C-C741-ACE4-03E161448E1C}">
          <x14:formula1>
            <xm:f>Katalog!$A$2:$A$6</xm:f>
          </x14:formula1>
          <xm:sqref>C11:C16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7992B-FC0E-7C4B-B0CE-E6E7008087B6}">
  <sheetPr codeName="Arkusz7"/>
  <dimension ref="A1"/>
  <sheetViews>
    <sheetView workbookViewId="0">
      <selection activeCell="A5" sqref="A5"/>
    </sheetView>
  </sheetViews>
  <sheetFormatPr defaultColWidth="10.90625" defaultRowHeight="12.5" x14ac:dyDescent="0.25"/>
  <sheetData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E5321-F4C2-44E8-B39F-0011158D650A}">
  <sheetPr codeName="Arkusz5"/>
  <dimension ref="A2:I39"/>
  <sheetViews>
    <sheetView workbookViewId="0">
      <selection activeCell="L14" sqref="L14"/>
    </sheetView>
  </sheetViews>
  <sheetFormatPr defaultColWidth="8.81640625" defaultRowHeight="12.5" x14ac:dyDescent="0.25"/>
  <cols>
    <col min="1" max="1" width="19.453125" customWidth="1"/>
    <col min="12" max="12" width="12.453125" customWidth="1"/>
  </cols>
  <sheetData>
    <row r="2" spans="1:9" x14ac:dyDescent="0.25">
      <c r="A2" t="s">
        <v>80</v>
      </c>
    </row>
    <row r="4" spans="1:9" x14ac:dyDescent="0.25">
      <c r="A4" t="s">
        <v>81</v>
      </c>
    </row>
    <row r="5" spans="1:9" x14ac:dyDescent="0.25">
      <c r="B5" t="s">
        <v>72</v>
      </c>
      <c r="C5" t="s">
        <v>73</v>
      </c>
      <c r="D5" t="s">
        <v>74</v>
      </c>
      <c r="E5" t="s">
        <v>75</v>
      </c>
      <c r="F5" t="s">
        <v>76</v>
      </c>
      <c r="G5" t="s">
        <v>77</v>
      </c>
      <c r="H5" t="s">
        <v>78</v>
      </c>
      <c r="I5" t="s">
        <v>79</v>
      </c>
    </row>
    <row r="6" spans="1:9" x14ac:dyDescent="0.25">
      <c r="A6" t="s">
        <v>16</v>
      </c>
      <c r="B6" s="27">
        <v>8</v>
      </c>
      <c r="C6" s="27">
        <v>15</v>
      </c>
      <c r="D6" s="27">
        <v>13</v>
      </c>
      <c r="E6" s="27" t="s">
        <v>82</v>
      </c>
      <c r="F6" s="27" t="s">
        <v>82</v>
      </c>
      <c r="G6" s="27" t="s">
        <v>82</v>
      </c>
      <c r="H6" s="27" t="s">
        <v>82</v>
      </c>
      <c r="I6" s="27" t="s">
        <v>82</v>
      </c>
    </row>
    <row r="7" spans="1:9" x14ac:dyDescent="0.25">
      <c r="A7" t="s">
        <v>18</v>
      </c>
      <c r="B7" s="27">
        <v>13</v>
      </c>
      <c r="C7" s="27" t="s">
        <v>82</v>
      </c>
      <c r="D7" s="27" t="s">
        <v>82</v>
      </c>
      <c r="E7" s="27">
        <v>20</v>
      </c>
      <c r="F7" s="27">
        <v>4</v>
      </c>
      <c r="G7" s="27" t="s">
        <v>82</v>
      </c>
      <c r="H7" s="27" t="s">
        <v>82</v>
      </c>
      <c r="I7" s="27" t="s">
        <v>82</v>
      </c>
    </row>
    <row r="8" spans="1:9" x14ac:dyDescent="0.25">
      <c r="A8" t="s">
        <v>20</v>
      </c>
      <c r="B8" s="27" t="s">
        <v>82</v>
      </c>
      <c r="C8" s="27">
        <v>13</v>
      </c>
      <c r="D8" s="27" t="s">
        <v>82</v>
      </c>
      <c r="E8" s="27" t="s">
        <v>82</v>
      </c>
      <c r="F8" s="27" t="s">
        <v>82</v>
      </c>
      <c r="G8" s="27">
        <v>16</v>
      </c>
      <c r="H8" s="27" t="s">
        <v>82</v>
      </c>
      <c r="I8" s="27" t="s">
        <v>82</v>
      </c>
    </row>
    <row r="9" spans="1:9" x14ac:dyDescent="0.25">
      <c r="A9" t="s">
        <v>22</v>
      </c>
      <c r="B9" s="27">
        <v>20</v>
      </c>
      <c r="C9" s="27" t="s">
        <v>82</v>
      </c>
      <c r="D9" s="27">
        <v>8</v>
      </c>
      <c r="E9" s="27" t="s">
        <v>82</v>
      </c>
      <c r="F9" s="27" t="s">
        <v>82</v>
      </c>
      <c r="G9" s="27" t="s">
        <v>82</v>
      </c>
      <c r="H9" s="27">
        <v>15</v>
      </c>
      <c r="I9" s="27" t="s">
        <v>82</v>
      </c>
    </row>
    <row r="10" spans="1:9" x14ac:dyDescent="0.25">
      <c r="A10" t="s">
        <v>24</v>
      </c>
      <c r="B10" s="27" t="s">
        <v>82</v>
      </c>
      <c r="C10" s="27" t="s">
        <v>82</v>
      </c>
      <c r="D10" s="27">
        <v>14</v>
      </c>
      <c r="E10" s="27">
        <v>16</v>
      </c>
      <c r="F10" s="27" t="s">
        <v>82</v>
      </c>
      <c r="G10" s="27">
        <v>9</v>
      </c>
      <c r="H10" s="27" t="s">
        <v>82</v>
      </c>
      <c r="I10" s="27">
        <v>9</v>
      </c>
    </row>
    <row r="13" spans="1:9" x14ac:dyDescent="0.25">
      <c r="A13" t="s">
        <v>83</v>
      </c>
    </row>
    <row r="14" spans="1:9" x14ac:dyDescent="0.25">
      <c r="B14" t="s">
        <v>72</v>
      </c>
      <c r="C14" t="s">
        <v>73</v>
      </c>
      <c r="D14" t="s">
        <v>74</v>
      </c>
      <c r="E14" t="s">
        <v>75</v>
      </c>
      <c r="F14" t="s">
        <v>76</v>
      </c>
      <c r="G14" t="s">
        <v>77</v>
      </c>
      <c r="H14" t="s">
        <v>78</v>
      </c>
      <c r="I14" t="s">
        <v>79</v>
      </c>
    </row>
    <row r="15" spans="1:9" x14ac:dyDescent="0.25">
      <c r="A15" t="s">
        <v>16</v>
      </c>
      <c r="B15" s="27">
        <v>0</v>
      </c>
      <c r="C15" s="27">
        <v>1</v>
      </c>
      <c r="D15" s="27">
        <v>3</v>
      </c>
      <c r="E15" s="27" t="s">
        <v>82</v>
      </c>
      <c r="F15" s="27" t="s">
        <v>82</v>
      </c>
      <c r="G15" s="27" t="s">
        <v>82</v>
      </c>
      <c r="H15" s="27" t="s">
        <v>82</v>
      </c>
      <c r="I15" s="27" t="s">
        <v>82</v>
      </c>
    </row>
    <row r="16" spans="1:9" x14ac:dyDescent="0.25">
      <c r="A16" t="s">
        <v>18</v>
      </c>
      <c r="B16" s="27">
        <v>13</v>
      </c>
      <c r="C16" s="27" t="s">
        <v>82</v>
      </c>
      <c r="D16" s="27" t="s">
        <v>82</v>
      </c>
      <c r="E16" s="27">
        <v>20</v>
      </c>
      <c r="F16" s="27">
        <v>2</v>
      </c>
      <c r="G16" s="27" t="s">
        <v>82</v>
      </c>
      <c r="H16" s="27" t="s">
        <v>82</v>
      </c>
      <c r="I16" s="27" t="s">
        <v>82</v>
      </c>
    </row>
    <row r="17" spans="1:9" x14ac:dyDescent="0.25">
      <c r="A17" t="s">
        <v>20</v>
      </c>
      <c r="B17" s="27" t="s">
        <v>82</v>
      </c>
      <c r="C17" s="27">
        <v>2</v>
      </c>
      <c r="D17" s="27" t="s">
        <v>82</v>
      </c>
      <c r="E17" s="27" t="s">
        <v>82</v>
      </c>
      <c r="F17" s="27" t="s">
        <v>82</v>
      </c>
      <c r="G17" s="27">
        <v>16</v>
      </c>
      <c r="H17" s="27" t="s">
        <v>82</v>
      </c>
      <c r="I17" s="27" t="s">
        <v>82</v>
      </c>
    </row>
    <row r="18" spans="1:9" x14ac:dyDescent="0.25">
      <c r="A18" t="s">
        <v>22</v>
      </c>
      <c r="B18" s="27">
        <v>12</v>
      </c>
      <c r="C18" s="27" t="s">
        <v>82</v>
      </c>
      <c r="D18" s="27">
        <v>8</v>
      </c>
      <c r="E18" s="27" t="s">
        <v>82</v>
      </c>
      <c r="F18" s="27" t="s">
        <v>82</v>
      </c>
      <c r="G18" s="27" t="s">
        <v>82</v>
      </c>
      <c r="H18" s="27">
        <v>3</v>
      </c>
      <c r="I18" s="27" t="s">
        <v>82</v>
      </c>
    </row>
    <row r="19" spans="1:9" x14ac:dyDescent="0.25">
      <c r="A19" t="s">
        <v>24</v>
      </c>
      <c r="B19" s="27" t="s">
        <v>82</v>
      </c>
      <c r="C19" s="27" t="s">
        <v>82</v>
      </c>
      <c r="D19" s="27">
        <v>6</v>
      </c>
      <c r="E19" s="27">
        <v>4</v>
      </c>
      <c r="F19" s="27" t="s">
        <v>82</v>
      </c>
      <c r="G19" s="27">
        <v>0</v>
      </c>
      <c r="H19" s="27" t="s">
        <v>82</v>
      </c>
      <c r="I19" s="27">
        <v>4</v>
      </c>
    </row>
    <row r="23" spans="1:9" x14ac:dyDescent="0.25">
      <c r="A23" t="s">
        <v>83</v>
      </c>
    </row>
    <row r="24" spans="1:9" x14ac:dyDescent="0.25">
      <c r="B24" t="s">
        <v>72</v>
      </c>
      <c r="C24" t="s">
        <v>73</v>
      </c>
      <c r="D24" t="s">
        <v>74</v>
      </c>
      <c r="E24" t="s">
        <v>75</v>
      </c>
      <c r="F24" t="s">
        <v>76</v>
      </c>
      <c r="G24" t="s">
        <v>77</v>
      </c>
      <c r="H24" t="s">
        <v>78</v>
      </c>
      <c r="I24" t="s">
        <v>79</v>
      </c>
    </row>
    <row r="25" spans="1:9" x14ac:dyDescent="0.25">
      <c r="A25" t="s">
        <v>16</v>
      </c>
      <c r="B25" s="27">
        <v>0</v>
      </c>
      <c r="C25" s="27">
        <v>1</v>
      </c>
      <c r="D25" s="27">
        <v>3</v>
      </c>
      <c r="E25" s="27" t="s">
        <v>82</v>
      </c>
      <c r="F25" s="27" t="s">
        <v>82</v>
      </c>
      <c r="G25" s="27" t="s">
        <v>82</v>
      </c>
      <c r="H25" s="27" t="s">
        <v>82</v>
      </c>
      <c r="I25" s="27" t="s">
        <v>82</v>
      </c>
    </row>
    <row r="26" spans="1:9" x14ac:dyDescent="0.25">
      <c r="A26" t="s">
        <v>18</v>
      </c>
      <c r="B26" s="27">
        <v>13</v>
      </c>
      <c r="C26" s="27" t="s">
        <v>82</v>
      </c>
      <c r="D26" s="27" t="s">
        <v>82</v>
      </c>
      <c r="E26" s="27">
        <v>20</v>
      </c>
      <c r="F26" s="27">
        <v>2</v>
      </c>
      <c r="G26" s="27" t="s">
        <v>82</v>
      </c>
      <c r="H26" s="27" t="s">
        <v>82</v>
      </c>
      <c r="I26" s="27" t="s">
        <v>82</v>
      </c>
    </row>
    <row r="27" spans="1:9" x14ac:dyDescent="0.25">
      <c r="A27" t="s">
        <v>20</v>
      </c>
      <c r="B27" s="27" t="s">
        <v>82</v>
      </c>
      <c r="C27" s="27">
        <v>2</v>
      </c>
      <c r="D27" s="27" t="s">
        <v>82</v>
      </c>
      <c r="E27" s="27" t="s">
        <v>82</v>
      </c>
      <c r="F27" s="27" t="s">
        <v>82</v>
      </c>
      <c r="G27" s="27">
        <v>16</v>
      </c>
      <c r="H27" s="27" t="s">
        <v>82</v>
      </c>
      <c r="I27" s="27" t="s">
        <v>82</v>
      </c>
    </row>
    <row r="28" spans="1:9" x14ac:dyDescent="0.25">
      <c r="A28" t="s">
        <v>22</v>
      </c>
      <c r="B28" s="27">
        <v>12</v>
      </c>
      <c r="C28" s="27" t="s">
        <v>82</v>
      </c>
      <c r="D28" s="27">
        <v>8</v>
      </c>
      <c r="E28" s="27" t="s">
        <v>82</v>
      </c>
      <c r="F28" s="27" t="s">
        <v>82</v>
      </c>
      <c r="G28" s="27" t="s">
        <v>82</v>
      </c>
      <c r="H28" s="27">
        <v>3</v>
      </c>
      <c r="I28" s="27" t="s">
        <v>82</v>
      </c>
    </row>
    <row r="29" spans="1:9" x14ac:dyDescent="0.25">
      <c r="A29" t="s">
        <v>24</v>
      </c>
      <c r="B29" s="27" t="s">
        <v>82</v>
      </c>
      <c r="C29" s="27" t="s">
        <v>82</v>
      </c>
      <c r="D29" s="27">
        <v>6</v>
      </c>
      <c r="E29" s="27">
        <v>4</v>
      </c>
      <c r="F29" s="27" t="s">
        <v>82</v>
      </c>
      <c r="G29" s="27">
        <v>0</v>
      </c>
      <c r="H29" s="27" t="s">
        <v>82</v>
      </c>
      <c r="I29" s="27">
        <v>4</v>
      </c>
    </row>
    <row r="33" spans="1:9" x14ac:dyDescent="0.25">
      <c r="A33" t="s">
        <v>84</v>
      </c>
    </row>
    <row r="34" spans="1:9" x14ac:dyDescent="0.25">
      <c r="B34" t="s">
        <v>72</v>
      </c>
      <c r="C34" t="s">
        <v>73</v>
      </c>
      <c r="D34" t="s">
        <v>74</v>
      </c>
      <c r="E34" t="s">
        <v>75</v>
      </c>
      <c r="F34" t="s">
        <v>76</v>
      </c>
      <c r="G34" t="s">
        <v>77</v>
      </c>
      <c r="H34" t="s">
        <v>78</v>
      </c>
      <c r="I34" t="s">
        <v>79</v>
      </c>
    </row>
    <row r="35" spans="1:9" x14ac:dyDescent="0.25">
      <c r="A35" t="s">
        <v>16</v>
      </c>
      <c r="B35" s="27">
        <v>2</v>
      </c>
      <c r="C35" s="27">
        <v>1</v>
      </c>
      <c r="D35" s="27">
        <v>0</v>
      </c>
      <c r="E35" s="27" t="s">
        <v>82</v>
      </c>
      <c r="F35" s="27" t="s">
        <v>82</v>
      </c>
      <c r="G35" s="27" t="s">
        <v>82</v>
      </c>
      <c r="H35" s="27" t="s">
        <v>82</v>
      </c>
      <c r="I35" s="27" t="s">
        <v>82</v>
      </c>
    </row>
    <row r="36" spans="1:9" x14ac:dyDescent="0.25">
      <c r="A36" t="s">
        <v>18</v>
      </c>
      <c r="B36" s="27">
        <v>1</v>
      </c>
      <c r="C36" s="27" t="s">
        <v>82</v>
      </c>
      <c r="D36" s="27" t="s">
        <v>82</v>
      </c>
      <c r="E36" s="27">
        <v>1</v>
      </c>
      <c r="F36" s="27">
        <v>2</v>
      </c>
      <c r="G36" s="27" t="s">
        <v>82</v>
      </c>
      <c r="H36" s="27" t="s">
        <v>82</v>
      </c>
      <c r="I36" s="27" t="s">
        <v>82</v>
      </c>
    </row>
    <row r="37" spans="1:9" x14ac:dyDescent="0.25">
      <c r="A37" t="s">
        <v>20</v>
      </c>
      <c r="B37" s="27" t="s">
        <v>82</v>
      </c>
      <c r="C37" s="27">
        <v>2</v>
      </c>
      <c r="D37" s="27" t="s">
        <v>82</v>
      </c>
      <c r="E37" s="27" t="s">
        <v>82</v>
      </c>
      <c r="F37" s="27" t="s">
        <v>82</v>
      </c>
      <c r="G37" s="27">
        <v>3</v>
      </c>
      <c r="H37" s="27" t="s">
        <v>82</v>
      </c>
      <c r="I37" s="27" t="s">
        <v>82</v>
      </c>
    </row>
    <row r="38" spans="1:9" x14ac:dyDescent="0.25">
      <c r="A38" t="s">
        <v>22</v>
      </c>
      <c r="B38" s="27">
        <v>4</v>
      </c>
      <c r="C38" s="27" t="s">
        <v>82</v>
      </c>
      <c r="D38" s="27">
        <v>0</v>
      </c>
      <c r="E38" s="27" t="s">
        <v>82</v>
      </c>
      <c r="F38" s="27" t="s">
        <v>82</v>
      </c>
      <c r="G38" s="27" t="s">
        <v>82</v>
      </c>
      <c r="H38" s="27">
        <v>3</v>
      </c>
      <c r="I38" s="27" t="s">
        <v>82</v>
      </c>
    </row>
    <row r="39" spans="1:9" x14ac:dyDescent="0.25">
      <c r="A39" t="s">
        <v>24</v>
      </c>
      <c r="B39" s="27" t="s">
        <v>82</v>
      </c>
      <c r="C39" s="27" t="s">
        <v>82</v>
      </c>
      <c r="D39" s="27">
        <v>6</v>
      </c>
      <c r="E39" s="27">
        <v>4</v>
      </c>
      <c r="F39" s="27" t="s">
        <v>82</v>
      </c>
      <c r="G39" s="27">
        <v>2</v>
      </c>
      <c r="H39" s="27" t="s">
        <v>82</v>
      </c>
      <c r="I39" s="27">
        <v>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2"/>
  <dimension ref="A1:M16"/>
  <sheetViews>
    <sheetView topLeftCell="B1" zoomScale="142" zoomScaleNormal="100" workbookViewId="0">
      <selection activeCell="I3" sqref="I3"/>
    </sheetView>
  </sheetViews>
  <sheetFormatPr defaultColWidth="8.81640625" defaultRowHeight="12.5" x14ac:dyDescent="0.25"/>
  <cols>
    <col min="1" max="1" width="11.36328125" customWidth="1"/>
    <col min="2" max="2" width="19.81640625" bestFit="1" customWidth="1"/>
    <col min="3" max="3" width="9.6328125" bestFit="1" customWidth="1"/>
    <col min="4" max="4" width="14" bestFit="1" customWidth="1"/>
    <col min="5" max="5" width="9.1796875" bestFit="1" customWidth="1"/>
    <col min="6" max="6" width="13.81640625" bestFit="1" customWidth="1"/>
    <col min="7" max="9" width="13.81640625" customWidth="1"/>
    <col min="10" max="10" width="10.36328125" customWidth="1"/>
    <col min="12" max="12" width="16.6328125" bestFit="1" customWidth="1"/>
  </cols>
  <sheetData>
    <row r="1" spans="1:13" ht="13" x14ac:dyDescent="0.3">
      <c r="A1" t="s">
        <v>9</v>
      </c>
      <c r="B1" t="s">
        <v>14</v>
      </c>
      <c r="C1" t="s">
        <v>11</v>
      </c>
      <c r="D1" t="s">
        <v>97</v>
      </c>
      <c r="E1" t="s">
        <v>104</v>
      </c>
      <c r="F1" t="s">
        <v>105</v>
      </c>
      <c r="H1" t="s">
        <v>106</v>
      </c>
      <c r="J1">
        <v>1</v>
      </c>
      <c r="L1" s="26" t="s">
        <v>70</v>
      </c>
      <c r="M1" s="26" t="s">
        <v>71</v>
      </c>
    </row>
    <row r="2" spans="1:13" ht="14" x14ac:dyDescent="0.3">
      <c r="A2" t="s">
        <v>15</v>
      </c>
      <c r="B2" t="s">
        <v>16</v>
      </c>
      <c r="C2" s="1">
        <v>150</v>
      </c>
      <c r="D2" t="str">
        <f>LOWER(B2)</f>
        <v>ekspres do kawy</v>
      </c>
      <c r="H2" t="s">
        <v>107</v>
      </c>
      <c r="I2" s="51">
        <v>4.6794000000000002</v>
      </c>
      <c r="L2" t="s">
        <v>16</v>
      </c>
      <c r="M2" t="s">
        <v>72</v>
      </c>
    </row>
    <row r="3" spans="1:13" ht="14" x14ac:dyDescent="0.3">
      <c r="A3" t="s">
        <v>17</v>
      </c>
      <c r="B3" t="s">
        <v>18</v>
      </c>
      <c r="C3" s="1">
        <v>190</v>
      </c>
      <c r="D3" t="str">
        <f t="shared" ref="D3:D6" si="0">LOWER(B3)</f>
        <v>krajalnica</v>
      </c>
      <c r="H3" t="s">
        <v>108</v>
      </c>
      <c r="I3" s="51">
        <v>4.5382999999999996</v>
      </c>
      <c r="L3" t="s">
        <v>16</v>
      </c>
      <c r="M3" t="s">
        <v>73</v>
      </c>
    </row>
    <row r="4" spans="1:13" x14ac:dyDescent="0.25">
      <c r="A4" t="s">
        <v>19</v>
      </c>
      <c r="B4" t="s">
        <v>20</v>
      </c>
      <c r="C4" s="1">
        <v>250</v>
      </c>
      <c r="D4" t="str">
        <f t="shared" si="0"/>
        <v>odkurzacz</v>
      </c>
      <c r="L4" t="s">
        <v>16</v>
      </c>
      <c r="M4" t="s">
        <v>74</v>
      </c>
    </row>
    <row r="5" spans="1:13" x14ac:dyDescent="0.25">
      <c r="A5" t="s">
        <v>21</v>
      </c>
      <c r="B5" t="s">
        <v>22</v>
      </c>
      <c r="C5" s="1">
        <v>100</v>
      </c>
      <c r="D5" t="str">
        <f t="shared" si="0"/>
        <v>czajnik</v>
      </c>
      <c r="L5" t="s">
        <v>18</v>
      </c>
      <c r="M5" t="s">
        <v>75</v>
      </c>
    </row>
    <row r="6" spans="1:13" x14ac:dyDescent="0.25">
      <c r="A6" t="s">
        <v>23</v>
      </c>
      <c r="B6" t="s">
        <v>24</v>
      </c>
      <c r="C6" s="1">
        <v>200</v>
      </c>
      <c r="D6" t="str">
        <f t="shared" si="0"/>
        <v>żelazko</v>
      </c>
      <c r="L6" t="s">
        <v>18</v>
      </c>
      <c r="M6" t="s">
        <v>72</v>
      </c>
    </row>
    <row r="7" spans="1:13" x14ac:dyDescent="0.25">
      <c r="C7" s="1"/>
      <c r="L7" t="s">
        <v>18</v>
      </c>
      <c r="M7" t="s">
        <v>76</v>
      </c>
    </row>
    <row r="8" spans="1:13" x14ac:dyDescent="0.25">
      <c r="C8" s="1"/>
      <c r="L8" t="s">
        <v>20</v>
      </c>
      <c r="M8" t="s">
        <v>73</v>
      </c>
    </row>
    <row r="9" spans="1:13" x14ac:dyDescent="0.25">
      <c r="L9" t="s">
        <v>20</v>
      </c>
      <c r="M9" t="s">
        <v>77</v>
      </c>
    </row>
    <row r="10" spans="1:13" x14ac:dyDescent="0.25">
      <c r="L10" t="s">
        <v>22</v>
      </c>
      <c r="M10" t="s">
        <v>72</v>
      </c>
    </row>
    <row r="11" spans="1:13" x14ac:dyDescent="0.25">
      <c r="L11" t="s">
        <v>22</v>
      </c>
      <c r="M11" t="s">
        <v>74</v>
      </c>
    </row>
    <row r="12" spans="1:13" x14ac:dyDescent="0.25">
      <c r="L12" t="s">
        <v>22</v>
      </c>
      <c r="M12" t="s">
        <v>78</v>
      </c>
    </row>
    <row r="13" spans="1:13" x14ac:dyDescent="0.25">
      <c r="L13" t="s">
        <v>24</v>
      </c>
      <c r="M13" t="s">
        <v>77</v>
      </c>
    </row>
    <row r="14" spans="1:13" x14ac:dyDescent="0.25">
      <c r="L14" t="s">
        <v>24</v>
      </c>
      <c r="M14" t="s">
        <v>74</v>
      </c>
    </row>
    <row r="15" spans="1:13" x14ac:dyDescent="0.25">
      <c r="L15" t="s">
        <v>24</v>
      </c>
      <c r="M15" t="s">
        <v>75</v>
      </c>
    </row>
    <row r="16" spans="1:13" x14ac:dyDescent="0.25">
      <c r="L16" t="s">
        <v>24</v>
      </c>
      <c r="M16" t="s">
        <v>79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4"/>
  <dimension ref="A1:L6"/>
  <sheetViews>
    <sheetView zoomScale="160" zoomScaleNormal="160" workbookViewId="0">
      <selection activeCell="G13" sqref="G13"/>
    </sheetView>
  </sheetViews>
  <sheetFormatPr defaultColWidth="8.81640625" defaultRowHeight="12.5" x14ac:dyDescent="0.25"/>
  <cols>
    <col min="5" max="5" width="16.6328125" bestFit="1" customWidth="1"/>
    <col min="6" max="6" width="10" customWidth="1"/>
    <col min="7" max="7" width="11.6328125" customWidth="1"/>
    <col min="8" max="8" width="20.1796875" customWidth="1"/>
    <col min="9" max="9" width="13.1796875" customWidth="1"/>
    <col min="10" max="10" width="15.1796875" customWidth="1"/>
  </cols>
  <sheetData>
    <row r="1" spans="1:12" ht="13" x14ac:dyDescent="0.3">
      <c r="A1" s="2" t="s">
        <v>25</v>
      </c>
      <c r="B1" s="2" t="s">
        <v>26</v>
      </c>
      <c r="C1" s="2" t="s">
        <v>27</v>
      </c>
      <c r="D1" s="2" t="s">
        <v>28</v>
      </c>
      <c r="E1" s="2" t="s">
        <v>29</v>
      </c>
      <c r="F1" s="3" t="s">
        <v>30</v>
      </c>
      <c r="G1" s="3" t="s">
        <v>31</v>
      </c>
      <c r="H1" s="3" t="s">
        <v>86</v>
      </c>
      <c r="I1" s="3" t="s">
        <v>87</v>
      </c>
      <c r="J1" t="str">
        <f>B1&amp;" "&amp;A1</f>
        <v>Nazwisko Imię</v>
      </c>
      <c r="L1">
        <v>2</v>
      </c>
    </row>
    <row r="2" spans="1:12" x14ac:dyDescent="0.25">
      <c r="A2" t="s">
        <v>32</v>
      </c>
      <c r="B2" t="s">
        <v>33</v>
      </c>
      <c r="C2" t="s">
        <v>34</v>
      </c>
      <c r="D2" t="s">
        <v>35</v>
      </c>
      <c r="E2" t="s">
        <v>36</v>
      </c>
      <c r="F2" s="4" t="s">
        <v>37</v>
      </c>
      <c r="G2" s="4">
        <v>15264</v>
      </c>
      <c r="H2" s="30">
        <v>40817</v>
      </c>
      <c r="I2" s="31" t="str">
        <f ca="1">IF(DATEDIF(H2,TODAY(),"Y")&gt;5,"TAK","NIE")</f>
        <v>TAK</v>
      </c>
      <c r="J2" t="str">
        <f t="shared" ref="J2:J6" si="0">B2&amp;" "&amp;A2</f>
        <v>Nowak Jan</v>
      </c>
    </row>
    <row r="3" spans="1:12" x14ac:dyDescent="0.25">
      <c r="A3" t="s">
        <v>38</v>
      </c>
      <c r="B3" t="s">
        <v>39</v>
      </c>
      <c r="C3" t="s">
        <v>40</v>
      </c>
      <c r="D3" t="s">
        <v>41</v>
      </c>
      <c r="E3" t="s">
        <v>42</v>
      </c>
      <c r="F3" s="4" t="s">
        <v>43</v>
      </c>
      <c r="G3" s="4">
        <v>54545</v>
      </c>
      <c r="H3" s="30">
        <v>43436</v>
      </c>
      <c r="I3" s="31" t="str">
        <f t="shared" ref="I3:I6" ca="1" si="1">IF(DATEDIF(H3,TODAY(),"Y")&gt;5,"TAK","NIE")</f>
        <v>NIE</v>
      </c>
      <c r="J3" t="str">
        <f t="shared" si="0"/>
        <v>Kowalski Henryk</v>
      </c>
    </row>
    <row r="4" spans="1:12" x14ac:dyDescent="0.25">
      <c r="A4" t="s">
        <v>44</v>
      </c>
      <c r="B4" t="s">
        <v>45</v>
      </c>
      <c r="C4" t="s">
        <v>46</v>
      </c>
      <c r="D4" t="s">
        <v>35</v>
      </c>
      <c r="E4" t="s">
        <v>47</v>
      </c>
      <c r="F4" s="4" t="s">
        <v>48</v>
      </c>
      <c r="G4" s="4">
        <v>45452</v>
      </c>
      <c r="H4" s="30">
        <v>36822</v>
      </c>
      <c r="I4" s="31" t="str">
        <f t="shared" ca="1" si="1"/>
        <v>TAK</v>
      </c>
      <c r="J4" t="str">
        <f t="shared" si="0"/>
        <v>Wilczyński Piotr</v>
      </c>
    </row>
    <row r="5" spans="1:12" x14ac:dyDescent="0.25">
      <c r="A5" t="s">
        <v>49</v>
      </c>
      <c r="B5" t="s">
        <v>50</v>
      </c>
      <c r="C5" t="s">
        <v>51</v>
      </c>
      <c r="D5" t="s">
        <v>52</v>
      </c>
      <c r="E5" t="s">
        <v>53</v>
      </c>
      <c r="F5" s="4" t="s">
        <v>54</v>
      </c>
      <c r="G5" s="4">
        <v>51452</v>
      </c>
      <c r="H5" s="30">
        <v>44139</v>
      </c>
      <c r="I5" s="31" t="str">
        <f t="shared" ca="1" si="1"/>
        <v>NIE</v>
      </c>
      <c r="J5" t="str">
        <f t="shared" si="0"/>
        <v>Mrowiński Paweł</v>
      </c>
    </row>
    <row r="6" spans="1:12" x14ac:dyDescent="0.25">
      <c r="A6" t="s">
        <v>55</v>
      </c>
      <c r="B6" t="s">
        <v>56</v>
      </c>
      <c r="C6" t="s">
        <v>57</v>
      </c>
      <c r="D6" t="s">
        <v>35</v>
      </c>
      <c r="E6" t="s">
        <v>58</v>
      </c>
      <c r="F6" s="4" t="s">
        <v>59</v>
      </c>
      <c r="G6" s="4">
        <v>95483</v>
      </c>
      <c r="H6" s="30">
        <v>44474</v>
      </c>
      <c r="I6" s="31" t="str">
        <f t="shared" ca="1" si="1"/>
        <v>NIE</v>
      </c>
      <c r="J6" t="str">
        <f t="shared" si="0"/>
        <v>Sępiński Aleksander</v>
      </c>
    </row>
  </sheetData>
  <phoneticPr fontId="0" type="noConversion"/>
  <pageMargins left="0.75" right="0.75" top="1" bottom="1" header="0.5" footer="0.5"/>
  <pageSetup paperSize="9" orientation="portrait" horizontalDpi="0" verticalDpi="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G6"/>
  <sheetViews>
    <sheetView workbookViewId="0">
      <selection activeCell="B10" sqref="B10"/>
    </sheetView>
  </sheetViews>
  <sheetFormatPr defaultColWidth="8.81640625" defaultRowHeight="12.5" x14ac:dyDescent="0.25"/>
  <cols>
    <col min="1" max="2" width="19.453125" customWidth="1"/>
    <col min="3" max="3" width="11.453125" customWidth="1"/>
    <col min="4" max="4" width="14.453125" customWidth="1"/>
    <col min="5" max="5" width="12.453125" customWidth="1"/>
    <col min="6" max="6" width="17" customWidth="1"/>
  </cols>
  <sheetData>
    <row r="1" spans="1:7" ht="28.5" customHeight="1" thickBot="1" x14ac:dyDescent="0.3">
      <c r="B1" s="24" t="s">
        <v>88</v>
      </c>
      <c r="C1" s="24" t="s">
        <v>67</v>
      </c>
      <c r="D1" s="24" t="s">
        <v>25</v>
      </c>
      <c r="E1" s="24" t="s">
        <v>26</v>
      </c>
      <c r="F1" s="25" t="s">
        <v>69</v>
      </c>
      <c r="G1" s="29" t="s">
        <v>85</v>
      </c>
    </row>
    <row r="2" spans="1:7" x14ac:dyDescent="0.25">
      <c r="A2" s="22" t="s">
        <v>63</v>
      </c>
      <c r="B2" s="28">
        <v>89032102331</v>
      </c>
    </row>
    <row r="3" spans="1:7" x14ac:dyDescent="0.25">
      <c r="A3" s="23" t="s">
        <v>64</v>
      </c>
      <c r="B3">
        <v>99092890972</v>
      </c>
    </row>
    <row r="4" spans="1:7" x14ac:dyDescent="0.25">
      <c r="A4" s="23" t="s">
        <v>65</v>
      </c>
      <c r="B4" s="28">
        <v>77121232421</v>
      </c>
    </row>
    <row r="5" spans="1:7" x14ac:dyDescent="0.25">
      <c r="A5" s="23" t="s">
        <v>66</v>
      </c>
      <c r="B5" s="28">
        <v>292467765</v>
      </c>
    </row>
    <row r="6" spans="1:7" x14ac:dyDescent="0.25">
      <c r="A6" s="23" t="s">
        <v>68</v>
      </c>
      <c r="B6" s="28">
        <v>2213498852</v>
      </c>
    </row>
  </sheetData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1"/>
  <dimension ref="B1:J27"/>
  <sheetViews>
    <sheetView zoomScale="110" zoomScaleNormal="100" workbookViewId="0">
      <selection activeCell="B1" sqref="B1:F1"/>
    </sheetView>
  </sheetViews>
  <sheetFormatPr defaultColWidth="9.1796875" defaultRowHeight="12.5" x14ac:dyDescent="0.25"/>
  <cols>
    <col min="1" max="1" width="2.81640625" style="5" customWidth="1"/>
    <col min="2" max="2" width="20" style="5" customWidth="1"/>
    <col min="3" max="3" width="21" style="5" customWidth="1"/>
    <col min="4" max="4" width="8.453125" style="5" customWidth="1"/>
    <col min="5" max="5" width="14.81640625" style="5" customWidth="1"/>
    <col min="6" max="6" width="12.36328125" style="5" bestFit="1" customWidth="1"/>
    <col min="7" max="7" width="15.453125" style="5" customWidth="1"/>
    <col min="8" max="8" width="12.36328125" style="5" customWidth="1"/>
    <col min="9" max="9" width="9.1796875" style="5"/>
    <col min="10" max="10" width="9.453125" style="5" customWidth="1"/>
    <col min="11" max="16384" width="9.1796875" style="5"/>
  </cols>
  <sheetData>
    <row r="1" spans="2:10" ht="13" x14ac:dyDescent="0.3">
      <c r="B1" s="56" t="s">
        <v>0</v>
      </c>
      <c r="C1" s="56"/>
      <c r="D1" s="56"/>
      <c r="E1" s="56"/>
      <c r="F1" s="56"/>
      <c r="G1" s="5" t="s">
        <v>60</v>
      </c>
      <c r="H1" s="6"/>
    </row>
    <row r="2" spans="2:10" x14ac:dyDescent="0.25">
      <c r="G2" s="5" t="s">
        <v>61</v>
      </c>
      <c r="H2" s="6"/>
    </row>
    <row r="3" spans="2:10" ht="13" thickBot="1" x14ac:dyDescent="0.3"/>
    <row r="4" spans="2:10" ht="14" thickTop="1" thickBot="1" x14ac:dyDescent="0.35">
      <c r="B4" s="7" t="s">
        <v>1</v>
      </c>
      <c r="C4" s="7" t="s">
        <v>2</v>
      </c>
      <c r="D4" s="7" t="s">
        <v>3</v>
      </c>
      <c r="E4" s="7" t="s">
        <v>4</v>
      </c>
      <c r="F4" s="8" t="s">
        <v>5</v>
      </c>
    </row>
    <row r="5" spans="2:10" ht="20.25" customHeight="1" thickTop="1" x14ac:dyDescent="0.25">
      <c r="B5" s="9"/>
      <c r="C5" s="9"/>
      <c r="D5" s="10"/>
      <c r="E5" s="11"/>
      <c r="F5" s="12"/>
    </row>
    <row r="6" spans="2:10" x14ac:dyDescent="0.25">
      <c r="B6" s="9"/>
      <c r="C6" s="9"/>
      <c r="D6" s="10"/>
      <c r="E6" s="11"/>
      <c r="F6" s="12"/>
    </row>
    <row r="7" spans="2:10" x14ac:dyDescent="0.25">
      <c r="B7" s="9"/>
      <c r="C7" s="9"/>
      <c r="D7" s="10"/>
      <c r="E7" s="11"/>
      <c r="F7" s="12"/>
      <c r="J7" s="13"/>
    </row>
    <row r="8" spans="2:10" x14ac:dyDescent="0.25">
      <c r="B8" s="9"/>
      <c r="C8" s="9"/>
      <c r="D8" s="10"/>
      <c r="E8" s="11"/>
      <c r="F8" s="12"/>
    </row>
    <row r="9" spans="2:10" x14ac:dyDescent="0.25">
      <c r="B9" s="9"/>
      <c r="C9" s="9"/>
      <c r="D9" s="10"/>
      <c r="E9" s="11"/>
      <c r="F9" s="12"/>
      <c r="J9" s="13"/>
    </row>
    <row r="10" spans="2:10" ht="13" thickBot="1" x14ac:dyDescent="0.3">
      <c r="B10" s="9"/>
      <c r="C10" s="9"/>
      <c r="D10" s="10"/>
      <c r="E10" s="11"/>
      <c r="F10" s="12"/>
      <c r="J10" s="13"/>
    </row>
    <row r="11" spans="2:10" ht="13" thickBot="1" x14ac:dyDescent="0.3">
      <c r="E11" s="14" t="s">
        <v>6</v>
      </c>
      <c r="F11" s="15"/>
    </row>
    <row r="12" spans="2:10" x14ac:dyDescent="0.25">
      <c r="E12" s="5" t="s">
        <v>62</v>
      </c>
      <c r="F12" s="16"/>
      <c r="J12" s="13"/>
    </row>
    <row r="13" spans="2:10" ht="13.5" thickBot="1" x14ac:dyDescent="0.35">
      <c r="B13" s="17" t="s">
        <v>7</v>
      </c>
      <c r="C13" s="18"/>
    </row>
    <row r="14" spans="2:10" ht="13.5" thickBot="1" x14ac:dyDescent="0.35">
      <c r="B14" s="17" t="s">
        <v>8</v>
      </c>
      <c r="C14" s="19"/>
      <c r="E14" s="20" t="s">
        <v>9</v>
      </c>
      <c r="F14" s="6"/>
    </row>
    <row r="15" spans="2:10" ht="13.5" thickBot="1" x14ac:dyDescent="0.35">
      <c r="B15" s="17" t="s">
        <v>10</v>
      </c>
      <c r="C15" s="19"/>
      <c r="E15" s="20" t="s">
        <v>11</v>
      </c>
      <c r="F15" s="6"/>
      <c r="J15" s="13"/>
    </row>
    <row r="16" spans="2:10" ht="13.5" thickBot="1" x14ac:dyDescent="0.35">
      <c r="B16" s="17" t="s">
        <v>12</v>
      </c>
      <c r="C16" s="19"/>
    </row>
    <row r="17" spans="2:3" ht="13.5" thickBot="1" x14ac:dyDescent="0.35">
      <c r="B17" s="17" t="s">
        <v>13</v>
      </c>
      <c r="C17" s="19"/>
    </row>
    <row r="23" spans="2:3" x14ac:dyDescent="0.25">
      <c r="B23" s="5" t="str">
        <f ca="1">IF(J12=1,IF(WEEKDAY(TODAY(),2)&lt;=5,"kasa czynna w godz. 8-20","kasa czynna w godz.8-15"),"")</f>
        <v/>
      </c>
    </row>
    <row r="27" spans="2:3" x14ac:dyDescent="0.25">
      <c r="C27" s="21"/>
    </row>
  </sheetData>
  <mergeCells count="1">
    <mergeCell ref="B1:F1"/>
  </mergeCells>
  <phoneticPr fontId="0" type="noConversion"/>
  <dataValidations count="1">
    <dataValidation allowBlank="1" showInputMessage="1" showErrorMessage="1" errorTitle="błąd" error="błedny nr katalogowy" sqref="B5:B10" xr:uid="{00000000-0002-0000-0300-000000000000}"/>
  </dataValidations>
  <pageMargins left="0.75" right="0.75" top="1" bottom="1" header="0.5" footer="0.5"/>
  <pageSetup paperSize="9" orientation="portrait" horizontalDpi="204" verticalDpi="196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2EEAB23-37D9-0E48-B910-B1B35DEDCA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7</vt:i4>
      </vt:variant>
      <vt:variant>
        <vt:lpstr>Nazwane zakresy</vt:lpstr>
      </vt:variant>
      <vt:variant>
        <vt:i4>3</vt:i4>
      </vt:variant>
    </vt:vector>
  </HeadingPairs>
  <TitlesOfParts>
    <vt:vector size="10" baseType="lpstr">
      <vt:lpstr>zamówienie</vt:lpstr>
      <vt:lpstr>kursy</vt:lpstr>
      <vt:lpstr>Magazyn</vt:lpstr>
      <vt:lpstr>Katalog</vt:lpstr>
      <vt:lpstr>klienci</vt:lpstr>
      <vt:lpstr>pracownicy</vt:lpstr>
      <vt:lpstr>Formularz </vt:lpstr>
      <vt:lpstr>ceny</vt:lpstr>
      <vt:lpstr>Nazwy</vt:lpstr>
      <vt:lpstr>symbole</vt:lpstr>
    </vt:vector>
  </TitlesOfParts>
  <Company>UG KIE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dorota</dc:creator>
  <cp:lastModifiedBy>Aleksandra Pstrong</cp:lastModifiedBy>
  <cp:lastPrinted>2022-11-14T13:34:34Z</cp:lastPrinted>
  <dcterms:created xsi:type="dcterms:W3CDTF">2006-11-03T12:30:32Z</dcterms:created>
  <dcterms:modified xsi:type="dcterms:W3CDTF">2023-10-30T09:37:06Z</dcterms:modified>
</cp:coreProperties>
</file>